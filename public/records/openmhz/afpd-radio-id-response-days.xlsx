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5fda3060cfa4bd4" /></Relationships>
</file>

<file path=xl/workbook.xml><?xml version="1.0" encoding="utf-8"?>
<x:workbook xmlns:x="http://schemas.openxmlformats.org/spreadsheetml/2006/main">
  <x:sheets>
    <x:sheet xmlns:r="http://schemas.openxmlformats.org/officeDocument/2006/relationships" name="Findings" sheetId="1" r:id="Rc6833c13207a40dc"/>
    <x:sheet xmlns:r="http://schemas.openxmlformats.org/officeDocument/2006/relationships" name="Exchanges" sheetId="2" r:id="Rf8a8b0e1e2e94f7d"/>
    <x:sheet xmlns:r="http://schemas.openxmlformats.org/officeDocument/2006/relationships" name="Exceptions" sheetId="3" r:id="Rfcfb374cfac0470e"/>
    <x:sheet xmlns:r="http://schemas.openxmlformats.org/officeDocument/2006/relationships" name="Coverage" sheetId="4" r:id="R2f445cbd4b31404b"/>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0196317c9b14359" /><Relationship Type="http://schemas.openxmlformats.org/officeDocument/2006/relationships/theme" Target="/xl/theme/theme1.xml" Id="R884de8302f7a40dd" /><Relationship Type="http://schemas.openxmlformats.org/officeDocument/2006/relationships/sharedStrings" Target="/xl/sharedStrings.xml" Id="Rabf62d818d6b41fd" /><Relationship Type="http://schemas.openxmlformats.org/officeDocument/2006/relationships/worksheet" Target="/xl/worksheets/sheet1.xml" Id="Rc6833c13207a40dc" /><Relationship Type="http://schemas.openxmlformats.org/officeDocument/2006/relationships/worksheet" Target="/xl/worksheets/sheet2.xml" Id="Rf8a8b0e1e2e94f7d" /><Relationship Type="http://schemas.openxmlformats.org/officeDocument/2006/relationships/worksheet" Target="/xl/worksheets/sheet3.xml" Id="Rfcfb374cfac0470e" /><Relationship Type="http://schemas.openxmlformats.org/officeDocument/2006/relationships/worksheet" Target="/xl/worksheets/sheet4.xml" Id="R2f445cbd4b31404b" /></Relationships>
</file>

<file path=xl/tables/table1.xml><?xml version="1.0" encoding="utf-8"?>
<x:table xmlns:x="http://schemas.openxmlformats.org/spreadsheetml/2006/main" id="5" name="RadioFindings" displayName="RadioFindings" ref="A9:L80" headerRowCount="1" totalsRowCount="0" totalsRowShown="0">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71" headerRowCount="1" totalsRowCount="0" totalsRowShown="0">
  <x:autoFilter ref="A7:S371"/>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054ef3d10874730" /></Relationships>
</file>

<file path=xl/worksheets/_rels/sheet2.xml.rels>&#65279;<?xml version="1.0" encoding="utf-8"?><Relationships xmlns="http://schemas.openxmlformats.org/package/2006/relationships"><Relationship Type="http://schemas.openxmlformats.org/officeDocument/2006/relationships/table" Target="/xl/tables/table2.xml" Id="R2ebdc3f77aef4a7f" /></Relationships>
</file>

<file path=xl/worksheets/_rels/sheet3.xml.rels>&#65279;<?xml version="1.0" encoding="utf-8"?><Relationships xmlns="http://schemas.openxmlformats.org/package/2006/relationships"><Relationship Type="http://schemas.openxmlformats.org/officeDocument/2006/relationships/table" Target="/xl/tables/table3.xml" Id="R42ffc89996584d8a" /></Relationships>
</file>

<file path=xl/worksheets/_rels/sheet4.xml.rels>&#65279;<?xml version="1.0" encoding="utf-8"?><Relationships xmlns="http://schemas.openxmlformats.org/package/2006/relationships"><Relationship Type="http://schemas.openxmlformats.org/officeDocument/2006/relationships/table" Target="/xl/tables/table4.xml" Id="R34f368bfdbdc4ec8"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only; audio has not been reviewed for this collation.</x:v>
      </x:c>
      <x:c r="B4" s="2"/>
      <x:c r="C4" s="2"/>
      <x:c r="D4" s="2"/>
      <x:c r="E4" s="2"/>
      <x:c r="F4" s="2"/>
      <x:c r="G4" s="2"/>
      <x:c r="H4" s="2"/>
      <x:c r="I4" s="2"/>
      <x:c r="J4" s="2"/>
      <x:c r="K4" s="2"/>
      <x:c r="L4" s="2"/>
    </x:row>
    <x:row r="5">
      <x:c r="A5" s="2" t="str">
        <x:v>Response days = distinct dates with a named response example for that name and radio ID among the 364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unless owner identification is noted. Tanner Ballamis groups Tanner, T-Ball and G-Ball.</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COUNTIFS(Exchanges!$B$8:$B$371,A10,Exchanges!$J$8:$J$371,B10)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COUNTIFS(Exchanges!$B$8:$B$371,A11,Exchanges!$J$8:$J$371,B11)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COUNTIFS(Exchanges!$B$8:$B$371,A12,Exchanges!$J$8:$J$371,B12)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COUNTIFS(Exchanges!$B$8:$B$371,A13,Exchanges!$J$8:$J$371,B13)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COUNTIFS(Exchanges!$B$8:$B$371,A14,Exchanges!$J$8:$J$371,B14)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COUNTIFS(Exchanges!$B$8:$B$371,A15,Exchanges!$J$8:$J$371,B15)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COUNTIFS(Exchanges!$B$8:$B$371,A16,Exchanges!$J$8:$J$371,B16)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COUNTIFS(Exchanges!$B$8:$B$371,A17,Exchanges!$J$8:$J$371,B17)</x:f>
        <x:v>4</x:v>
      </x:c>
      <x:c r="D17" s="10" t="n">
        <x:v>4</x:v>
      </x:c>
      <x:c r="E17" s="12" t="n">
        <x:v>46275</x:v>
      </x:c>
      <x:c r="F17" s="12" t="n">
        <x:v>46299</x:v>
      </x:c>
      <x:c r="G17" s="10" t="str">
        <x:v>Repeated across days</x:v>
      </x:c>
      <x:c r="H17" s="10"/>
      <x:c r="I17" s="10" t="str">
        <x:v>Jaclyn G. Strong (candidate)</x:v>
      </x:c>
      <x:c r="J17" s="10" t="str">
        <x:v>Mostly 14590104 and 14590200; 14590103 has only one uncertain exchange. No roster identity assigned from the nickname alone.</x:v>
      </x:c>
      <x:c r="K17" s="10" t="str">
        <x:v>2026-09-10, 2026-09-11, 2026-10-03, 2026-10-04</x:v>
      </x:c>
      <x:c r="L17" s="10" t="str">
        <x:v>E012, E013, E224, E234</x:v>
      </x:c>
    </x:row>
    <x:row r="18" ht="60" customHeight="1">
      <x:c r="A18" s="10" t="str">
        <x:v>Jackie</x:v>
      </x:c>
      <x:c r="B18" s="11" t="str">
        <x:v>14590200</x:v>
      </x:c>
      <x:c r="C18" s="10" t="n">
        <x:f>COUNTIFS(Exchanges!$B$8:$B$371,A18,Exchanges!$J$8:$J$371,B18)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COUNTIFS(Exchanges!$B$8:$B$371,A19,Exchanges!$J$8:$J$371,B19)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COUNTIFS(Exchanges!$B$8:$B$371,A20,Exchanges!$J$8:$J$371,B20)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COUNTIFS(Exchanges!$B$8:$B$371,A21,Exchanges!$J$8:$J$371,B21)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COUNTIFS(Exchanges!$B$8:$B$371,A22,Exchanges!$J$8:$J$371,B22)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COUNTIFS(Exchanges!$B$8:$B$371,A23,Exchanges!$J$8:$J$371,B23)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COUNTIFS(Exchanges!$B$8:$B$371,A24,Exchanges!$J$8:$J$371,B24)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Mason</x:v>
      </x:c>
      <x:c r="B25" s="11" t="str">
        <x:v>14590237</x:v>
      </x:c>
      <x:c r="C25" s="10" t="n">
        <x:f>COUNTIFS(Exchanges!$B$8:$B$371,A25,Exchanges!$J$8:$J$371,B25)</x:f>
        <x:v>10</x:v>
      </x:c>
      <x:c r="D25" s="10" t="n">
        <x:v>8</x:v>
      </x:c>
      <x:c r="E25" s="12" t="n">
        <x:v>46278</x:v>
      </x:c>
      <x:c r="F25" s="12" t="n">
        <x:v>46306</x:v>
      </x:c>
      <x:c r="G25" s="10" t="str">
        <x:v>Repeated across days</x:v>
      </x:c>
      <x:c r="H25" s="10"/>
      <x:c r="I25" s="10" t="str">
        <x:v>Brandon K. Mason</x:v>
      </x:c>
      <x:c r="J25" s="10"/>
      <x:c r="K25" s="10" t="str">
        <x:v>2026-09-13, 2026-09-17, 2026-09-21, 2026-09-25, 2026-09-26, 2026-10-05, 2026-10-10, 2026-10-11</x:v>
      </x:c>
      <x:c r="L25" s="10" t="str">
        <x:v>E077, E116, E138, E172, E176, E188, E192, E241, E269, E291</x:v>
      </x:c>
    </x:row>
    <x:row r="26" ht="60" customHeight="1">
      <x:c r="A26" s="10" t="str">
        <x:v>Mason</x:v>
      </x:c>
      <x:c r="B26" s="11" t="str">
        <x:v>14590315</x:v>
      </x:c>
      <x:c r="C26" s="10" t="n">
        <x:f>COUNTIFS(Exchanges!$B$8:$B$371,A26,Exchanges!$J$8:$J$371,B26)</x:f>
        <x:v>22</x:v>
      </x:c>
      <x:c r="D26" s="10" t="n">
        <x:v>10</x:v>
      </x:c>
      <x:c r="E26" s="12" t="n">
        <x:v>46277</x:v>
      </x:c>
      <x:c r="F26" s="12" t="n">
        <x:v>46315</x:v>
      </x:c>
      <x:c r="G26" s="10" t="str">
        <x:v>Repeated across days</x:v>
      </x:c>
      <x:c r="H26" s="10"/>
      <x:c r="I26" s="10" t="str">
        <x:v>Brandon K. Mason</x:v>
      </x:c>
      <x:c r="J26" s="10"/>
      <x:c r="K26" s="10" t="str">
        <x:v>2026-09-12, 2026-09-13, 2026-09-16, 2026-09-21, 2026-09-22, 2026-09-26, 2026-10-06, 2026-10-10, 2026-10-11, 2026-10-20</x:v>
      </x:c>
      <x:c r="L26" s="10" t="str">
        <x:v>E042, E043, E049, E056, E059, E073, E076, E100, E103, E104, E105, E106, E139, E147, E150, E187, E190, E244, E270, E271, E289, E330</x:v>
      </x:c>
    </x:row>
    <x:row r="27" ht="60" customHeight="1">
      <x:c r="A27" s="10" t="str">
        <x:v>McClellan / Dennis</x:v>
      </x:c>
      <x:c r="B27" s="11" t="str">
        <x:v>14590162</x:v>
      </x:c>
      <x:c r="C27" s="10" t="n">
        <x:f>COUNTIFS(Exchanges!$B$8:$B$371,A27,Exchanges!$J$8:$J$371,B27)</x:f>
        <x:v>3</x:v>
      </x:c>
      <x:c r="D27" s="10" t="n">
        <x:v>3</x:v>
      </x:c>
      <x:c r="E27" s="12" t="n">
        <x:v>46283</x:v>
      </x:c>
      <x:c r="F27" s="12" t="n">
        <x:v>46293</x:v>
      </x:c>
      <x:c r="G27" s="10" t="str">
        <x:v>Repeated across days</x:v>
      </x:c>
      <x:c r="H27" s="10"/>
      <x:c r="I27" s="10" t="str">
        <x:v>Dennis R. McClellan</x:v>
      </x:c>
      <x:c r="J27" s="10"/>
      <x:c r="K27" s="10" t="str">
        <x:v>2026-09-18, 2026-09-23, 2026-09-28</x:v>
      </x:c>
      <x:c r="L27" s="10" t="str">
        <x:v>E127, E161, E202</x:v>
      </x:c>
    </x:row>
    <x:row r="28" ht="60" customHeight="1">
      <x:c r="A28" s="10" t="str">
        <x:v>McKay</x:v>
      </x:c>
      <x:c r="B28" s="11" t="str">
        <x:v>14590081</x:v>
      </x:c>
      <x:c r="C28" s="10" t="n">
        <x:f>COUNTIFS(Exchanges!$B$8:$B$371,A28,Exchanges!$J$8:$J$371,B28)</x:f>
        <x:v>2</x:v>
      </x:c>
      <x:c r="D28" s="10" t="n">
        <x:v>2</x:v>
      </x:c>
      <x:c r="E28" s="12" t="n">
        <x:v>46275</x:v>
      </x:c>
      <x:c r="F28" s="12" t="n">
        <x:v>46316</x:v>
      </x:c>
      <x:c r="G28" s="10" t="str">
        <x:v>Repeated across days</x:v>
      </x:c>
      <x:c r="H28" s="10"/>
      <x:c r="I28" s="10" t="str">
        <x:v>Mckay A. Valadez</x:v>
      </x:c>
      <x:c r="J28" s="10"/>
      <x:c r="K28" s="10" t="str">
        <x:v>2026-09-10, 2026-10-21</x:v>
      </x:c>
      <x:c r="L28" s="10" t="str">
        <x:v>E009, E336</x:v>
      </x:c>
    </x:row>
    <x:row r="29" ht="60" customHeight="1">
      <x:c r="A29" s="10" t="str">
        <x:v>McKay</x:v>
      </x:c>
      <x:c r="B29" s="11" t="str">
        <x:v>14590102</x:v>
      </x:c>
      <x:c r="C29" s="10" t="n">
        <x:f>COUNTIFS(Exchanges!$B$8:$B$371,A29,Exchanges!$J$8:$J$371,B29)</x:f>
        <x:v>8</x:v>
      </x:c>
      <x:c r="D29" s="10" t="n">
        <x:v>6</x:v>
      </x:c>
      <x:c r="E29" s="12" t="n">
        <x:v>46275</x:v>
      </x:c>
      <x:c r="F29" s="12" t="n">
        <x:v>46316</x:v>
      </x:c>
      <x:c r="G29" s="10" t="str">
        <x:v>Repeated across days</x:v>
      </x:c>
      <x:c r="H29" s="10"/>
      <x:c r="I29" s="10" t="str">
        <x:v>Mckay A. Valadez</x:v>
      </x:c>
      <x:c r="J29" s="10"/>
      <x:c r="K29" s="10" t="str">
        <x:v>2026-09-10, 2026-09-14, 2026-09-18, 2026-09-28, 2026-10-17, 2026-10-21</x:v>
      </x:c>
      <x:c r="L29" s="10" t="str">
        <x:v>E010, E090, E091, E126, E200, E323, E325, E335</x:v>
      </x:c>
    </x:row>
    <x:row r="30" ht="60" customHeight="1">
      <x:c r="A30" s="10" t="str">
        <x:v>Mitch</x:v>
      </x:c>
      <x:c r="B30" s="11" t="str">
        <x:v>14590344</x:v>
      </x:c>
      <x:c r="C30" s="10" t="n">
        <x:f>COUNTIFS(Exchanges!$B$8:$B$371,A30,Exchanges!$J$8:$J$371,B30)</x:f>
        <x:v>10</x:v>
      </x:c>
      <x:c r="D30" s="10" t="n">
        <x:v>8</x:v>
      </x:c>
      <x:c r="E30" s="12" t="n">
        <x:v>46277</x:v>
      </x:c>
      <x:c r="F30" s="12" t="n">
        <x:v>46311</x:v>
      </x:c>
      <x:c r="G30" s="10" t="str">
        <x:v>Repeated across days</x:v>
      </x:c>
      <x:c r="H30" s="10"/>
      <x:c r="I30" s="10" t="str">
        <x:v>Mitchell R. Godfrey (candidate)</x:v>
      </x:c>
      <x:c r="J30" s="10" t="str">
        <x:v>14590036 also answers Hawkins. Keep 14590344 separate from 14590036 pending audio and assignment confirmation.</x:v>
      </x:c>
      <x:c r="K30" s="10" t="str">
        <x:v>2026-09-12, 2026-09-17, 2026-09-23, 2026-09-25, 2026-09-27, 2026-10-01, 2026-10-15, 2026-10-16</x:v>
      </x:c>
      <x:c r="L30" s="10" t="str">
        <x:v>E039, E122, E124, E154, E178, E199, E213, E308, E318, E319</x:v>
      </x:c>
    </x:row>
    <x:row r="31" ht="60" customHeight="1">
      <x:c r="A31" s="10" t="str">
        <x:v>Phil</x:v>
      </x:c>
      <x:c r="B31" s="11" t="str">
        <x:v>14590126</x:v>
      </x:c>
      <x:c r="C31" s="10" t="n">
        <x:f>COUNTIFS(Exchanges!$B$8:$B$371,A31,Exchanges!$J$8:$J$371,B31)</x:f>
        <x:v>7</x:v>
      </x:c>
      <x:c r="D31" s="10" t="n">
        <x:v>5</x:v>
      </x:c>
      <x:c r="E31" s="12" t="n">
        <x:v>46276</x:v>
      </x:c>
      <x:c r="F31" s="12" t="n">
        <x:v>46308</x:v>
      </x:c>
      <x:c r="G31" s="10" t="str">
        <x:v>Conflicting names on ID</x:v>
      </x:c>
      <x:c r="H31" s="10" t="str">
        <x:v>Valadez</x:v>
      </x:c>
      <x:c r="I31" s="10" t="str">
        <x:v>Philip E. Valadez (candidate)</x:v>
      </x:c>
      <x:c r="J31" s="10" t="str">
        <x:v>Phil is not a unique first name on the roster; Philip Valadez is a candidate because of a separate Valadez hail.</x:v>
      </x:c>
      <x:c r="K31" s="10" t="str">
        <x:v>2026-09-11, 2026-09-23, 2026-10-08, 2026-10-09, 2026-10-13</x:v>
      </x:c>
      <x:c r="L31" s="10" t="str">
        <x:v>E018, E023, E156, E253, E258, E262, E300</x:v>
      </x:c>
    </x:row>
    <x:row r="32" ht="60" customHeight="1">
      <x:c r="A32" s="10" t="str">
        <x:v>Pitt</x:v>
      </x:c>
      <x:c r="B32" s="11" t="str">
        <x:v>14590114</x:v>
      </x:c>
      <x:c r="C32" s="10" t="n">
        <x:f>COUNTIFS(Exchanges!$B$8:$B$371,A32,Exchanges!$J$8:$J$371,B32)</x:f>
        <x:v>2</x:v>
      </x:c>
      <x:c r="D32" s="10" t="n">
        <x:v>2</x:v>
      </x:c>
      <x:c r="E32" s="12" t="n">
        <x:v>46279</x:v>
      </x:c>
      <x:c r="F32" s="12" t="n">
        <x:v>46303</x:v>
      </x:c>
      <x:c r="G32" s="10" t="str">
        <x:v>Conflicting names on ID</x:v>
      </x:c>
      <x:c r="H32" s="10" t="str">
        <x:v>Pat (unclear), Peter (unclear)</x:v>
      </x:c>
      <x:c r="I32" s="10" t="str">
        <x:v>Kyle B. Pitt</x:v>
      </x:c>
      <x:c r="J32" s="10"/>
      <x:c r="K32" s="10" t="str">
        <x:v>2026-09-14, 2026-10-08</x:v>
      </x:c>
      <x:c r="L32" s="10" t="str">
        <x:v>E092, E254</x:v>
      </x:c>
    </x:row>
    <x:row r="33" ht="60" customHeight="1">
      <x:c r="A33" s="10" t="str">
        <x:v>Renter</x:v>
      </x:c>
      <x:c r="B33" s="11" t="str">
        <x:v>14590087</x:v>
      </x:c>
      <x:c r="C33" s="10" t="n">
        <x:f>COUNTIFS(Exchanges!$B$8:$B$371,A33,Exchanges!$J$8:$J$371,B33)</x:f>
        <x:v>10</x:v>
      </x:c>
      <x:c r="D33" s="10" t="n">
        <x:v>7</x:v>
      </x:c>
      <x:c r="E33" s="12" t="n">
        <x:v>46278</x:v>
      </x:c>
      <x:c r="F33" s="12" t="n">
        <x:v>46306</x:v>
      </x:c>
      <x:c r="G33" s="10" t="str">
        <x:v>Repeated across days</x:v>
      </x:c>
      <x:c r="H33" s="10"/>
      <x:c r="I33" s="10" t="str">
        <x:v>Dustin R. Renter</x:v>
      </x:c>
      <x:c r="J33" s="10"/>
      <x:c r="K33" s="10" t="str">
        <x:v>2026-09-13, 2026-09-17, 2026-09-25, 2026-09-26, 2026-09-30, 2026-10-01, 2026-10-11</x:v>
      </x:c>
      <x:c r="L33" s="10" t="str">
        <x:v>E075, E078, E120, E121, E174, E186, E191, E210, E215, E290</x:v>
      </x:c>
    </x:row>
    <x:row r="34" ht="60" customHeight="1">
      <x:c r="A34" s="10" t="str">
        <x:v>Richardson / Cole</x:v>
      </x:c>
      <x:c r="B34" s="11" t="str">
        <x:v>14590044</x:v>
      </x:c>
      <x:c r="C34" s="10" t="n">
        <x:f>COUNTIFS(Exchanges!$B$8:$B$371,A34,Exchanges!$J$8:$J$371,B34)</x:f>
        <x:v>5</x:v>
      </x:c>
      <x:c r="D34" s="10" t="n">
        <x:v>4</x:v>
      </x:c>
      <x:c r="E34" s="12" t="n">
        <x:v>46286</x:v>
      </x:c>
      <x:c r="F34" s="12" t="n">
        <x:v>46311</x:v>
      </x:c>
      <x:c r="G34" s="10" t="str">
        <x:v>Repeated across days</x:v>
      </x:c>
      <x:c r="H34" s="10"/>
      <x:c r="I34" s="10" t="str">
        <x:v>Cole G. Richardson</x:v>
      </x:c>
      <x:c r="J34" s="10"/>
      <x:c r="K34" s="10" t="str">
        <x:v>2026-09-21, 2026-09-22, 2026-10-14, 2026-10-16</x:v>
      </x:c>
      <x:c r="L34" s="10" t="str">
        <x:v>E140, E146, E148, E304, E321</x:v>
      </x:c>
    </x:row>
    <x:row r="35" ht="60" customHeight="1">
      <x:c r="A35" s="10" t="str">
        <x:v>Richardson / Cole</x:v>
      </x:c>
      <x:c r="B35" s="11" t="str">
        <x:v>14590123</x:v>
      </x:c>
      <x:c r="C35" s="10" t="n">
        <x:f>COUNTIFS(Exchanges!$B$8:$B$371,A35,Exchanges!$J$8:$J$371,B35)</x:f>
        <x:v>12</x:v>
      </x:c>
      <x:c r="D35" s="10" t="n">
        <x:v>7</x:v>
      </x:c>
      <x:c r="E35" s="12" t="n">
        <x:v>46276</x:v>
      </x:c>
      <x:c r="F35" s="12" t="n">
        <x:v>46307</x:v>
      </x:c>
      <x:c r="G35" s="10" t="str">
        <x:v>Repeated across days</x:v>
      </x:c>
      <x:c r="H35" s="10"/>
      <x:c r="I35" s="10" t="str">
        <x:v>Cole G. Richardson</x:v>
      </x:c>
      <x:c r="J35" s="10"/>
      <x:c r="K35" s="10" t="str">
        <x:v>2026-09-11, 2026-09-12, 2026-09-13, 2026-09-16, 2026-09-17, 2026-10-01, 2026-10-12</x:v>
      </x:c>
      <x:c r="L35" s="10" t="str">
        <x:v>E015, E047, E052, E053, E054, E055, E079, E099, E101, E114, E218, E296</x:v>
      </x:c>
    </x:row>
    <x:row r="36" ht="60" customHeight="1">
      <x:c r="A36" s="10" t="str">
        <x:v>Ron</x:v>
      </x:c>
      <x:c r="B36" s="11" t="str">
        <x:v>14590037</x:v>
      </x:c>
      <x:c r="C36" s="10" t="n">
        <x:f>COUNTIFS(Exchanges!$B$8:$B$371,A36,Exchanges!$J$8:$J$371,B36)</x:f>
        <x:v>4</x:v>
      </x:c>
      <x:c r="D36" s="10" t="n">
        <x:v>4</x:v>
      </x:c>
      <x:c r="E36" s="12" t="n">
        <x:v>46280</x:v>
      </x:c>
      <x:c r="F36" s="12" t="n">
        <x:v>46299</x:v>
      </x:c>
      <x:c r="G36" s="10" t="str">
        <x:v>Repeated across days</x:v>
      </x:c>
      <x:c r="H36" s="10"/>
      <x:c r="I36" s="10" t="str">
        <x:v>Unresolved</x:v>
      </x:c>
      <x:c r="J36" s="10" t="str">
        <x:v>Ron could be a name, nickname, or a transcription of Bronson. Several distinct IDs appear; no roster identity assigned.</x:v>
      </x:c>
      <x:c r="K36" s="10" t="str">
        <x:v>2026-09-15, 2026-09-20, 2026-09-28, 2026-10-04</x:v>
      </x:c>
      <x:c r="L36" s="10" t="str">
        <x:v>E095, E137, E207, E231</x:v>
      </x:c>
    </x:row>
    <x:row r="37" ht="60" customHeight="1">
      <x:c r="A37" s="10" t="str">
        <x:v>Ron</x:v>
      </x:c>
      <x:c r="B37" s="11" t="str">
        <x:v>14590095</x:v>
      </x:c>
      <x:c r="C37" s="10" t="n">
        <x:f>COUNTIFS(Exchanges!$B$8:$B$371,A37,Exchanges!$J$8:$J$371,B37)</x:f>
        <x:v>4</x:v>
      </x:c>
      <x:c r="D37" s="10" t="n">
        <x:v>3</x:v>
      </x:c>
      <x:c r="E37" s="12" t="n">
        <x:v>46283</x:v>
      </x:c>
      <x:c r="F37" s="12" t="n">
        <x:v>46289</x:v>
      </x:c>
      <x:c r="G37" s="10" t="str">
        <x:v>Repeated across days</x:v>
      </x:c>
      <x:c r="H37" s="10"/>
      <x:c r="I37" s="10" t="str">
        <x:v>Unresolved</x:v>
      </x:c>
      <x:c r="J37" s="10" t="str">
        <x:v>Ron could be a name, nickname, or a transcription of Bronson. Several distinct IDs appear; no roster identity assigned.</x:v>
      </x:c>
      <x:c r="K37" s="10" t="str">
        <x:v>2026-09-18, 2026-09-19, 2026-09-24</x:v>
      </x:c>
      <x:c r="L37" s="10" t="str">
        <x:v>E128, E131, E132, E167</x:v>
      </x:c>
    </x:row>
    <x:row r="38" ht="60" customHeight="1">
      <x:c r="A38" s="10" t="str">
        <x:v>Ron</x:v>
      </x:c>
      <x:c r="B38" s="11" t="str">
        <x:v>14590099</x:v>
      </x:c>
      <x:c r="C38" s="10" t="n">
        <x:f>COUNTIFS(Exchanges!$B$8:$B$371,A38,Exchanges!$J$8:$J$371,B38)</x:f>
        <x:v>3</x:v>
      </x:c>
      <x:c r="D38" s="10" t="n">
        <x:v>2</x:v>
      </x:c>
      <x:c r="E38" s="12" t="n">
        <x:v>46299</x:v>
      </x:c>
      <x:c r="F38" s="12" t="n">
        <x:v>46310</x:v>
      </x:c>
      <x:c r="G38" s="10" t="str">
        <x:v>Repeated across days</x:v>
      </x:c>
      <x:c r="H38" s="10"/>
      <x:c r="I38" s="10" t="str">
        <x:v>Unresolved</x:v>
      </x:c>
      <x:c r="J38" s="10" t="str">
        <x:v>Ron could be a name, nickname, or a transcription of Bronson. Several distinct IDs appear; no roster identity assigned.</x:v>
      </x:c>
      <x:c r="K38" s="10" t="str">
        <x:v>2026-10-04, 2026-10-15</x:v>
      </x:c>
      <x:c r="L38" s="10" t="str">
        <x:v>E232, E233, E312</x:v>
      </x:c>
    </x:row>
    <x:row r="39" ht="60" customHeight="1">
      <x:c r="A39" s="10" t="str">
        <x:v>Ron</x:v>
      </x:c>
      <x:c r="B39" s="11" t="str">
        <x:v>14590207</x:v>
      </x:c>
      <x:c r="C39" s="10" t="n">
        <x:f>COUNTIFS(Exchanges!$B$8:$B$371,A39,Exchanges!$J$8:$J$371,B39)</x:f>
        <x:v>2</x:v>
      </x:c>
      <x:c r="D39" s="10" t="n">
        <x:v>2</x:v>
      </x:c>
      <x:c r="E39" s="12" t="n">
        <x:v>46291</x:v>
      </x:c>
      <x:c r="F39" s="12" t="n">
        <x:v>46304</x:v>
      </x:c>
      <x:c r="G39" s="10" t="str">
        <x:v>Repeated across days</x:v>
      </x:c>
      <x:c r="H39" s="10"/>
      <x:c r="I39" s="10" t="str">
        <x:v>Unresolved</x:v>
      </x:c>
      <x:c r="J39" s="10" t="str">
        <x:v>Ron could be a name, nickname, or a transcription of Bronson. Several distinct IDs appear; no roster identity assigned.</x:v>
      </x:c>
      <x:c r="K39" s="10" t="str">
        <x:v>2026-09-26, 2026-10-09</x:v>
      </x:c>
      <x:c r="L39" s="10" t="str">
        <x:v>E193, E265</x:v>
      </x:c>
    </x:row>
    <x:row r="40" ht="60" customHeight="1">
      <x:c r="A40" s="10" t="str">
        <x:v>Sam</x:v>
      </x:c>
      <x:c r="B40" s="11" t="str">
        <x:v>14590067</x:v>
      </x:c>
      <x:c r="C40" s="10" t="n">
        <x:f>COUNTIFS(Exchanges!$B$8:$B$371,A40,Exchanges!$J$8:$J$371,B40)</x:f>
        <x:v>2</x:v>
      </x:c>
      <x:c r="D40" s="10" t="n">
        <x:v>2</x:v>
      </x:c>
      <x:c r="E40" s="12" t="n">
        <x:v>46302</x:v>
      </x:c>
      <x:c r="F40" s="12" t="n">
        <x:v>46303</x:v>
      </x:c>
      <x:c r="G40" s="10" t="str">
        <x:v>Repeated across days</x:v>
      </x:c>
      <x:c r="H40" s="10"/>
      <x:c r="I40" s="10" t="str">
        <x:v>Multiple candidates</x:v>
      </x:c>
      <x:c r="J40" s="10" t="str">
        <x:v>Several officers use Sam or Samuel. Do not combine these IDs into one officer identity.</x:v>
      </x:c>
      <x:c r="K40" s="10" t="str">
        <x:v>2026-10-07, 2026-10-08</x:v>
      </x:c>
      <x:c r="L40" s="10" t="str">
        <x:v>E248, E250</x:v>
      </x:c>
    </x:row>
    <x:row r="41" ht="60" customHeight="1">
      <x:c r="A41" s="10" t="str">
        <x:v>Somerville</x:v>
      </x:c>
      <x:c r="B41" s="11" t="str">
        <x:v>14590042</x:v>
      </x:c>
      <x:c r="C41" s="10" t="n">
        <x:f>COUNTIFS(Exchanges!$B$8:$B$371,A41,Exchanges!$J$8:$J$371,B41)</x:f>
        <x:v>4</x:v>
      </x:c>
      <x:c r="D41" s="10" t="n">
        <x:v>4</x:v>
      </x:c>
      <x:c r="E41" s="12" t="n">
        <x:v>46274</x:v>
      </x:c>
      <x:c r="F41" s="12" t="n">
        <x:v>46297</x:v>
      </x:c>
      <x:c r="G41" s="10" t="str">
        <x:v>Repeated across days</x:v>
      </x:c>
      <x:c r="H41" s="10"/>
      <x:c r="I41" s="10" t="str">
        <x:v>J. Tayler Somerville</x:v>
      </x:c>
      <x:c r="J41" s="10"/>
      <x:c r="K41" s="10" t="str">
        <x:v>2026-09-09, 2026-09-15, 2026-09-24, 2026-10-02</x:v>
      </x:c>
      <x:c r="L41" s="10" t="str">
        <x:v>E001, E096, E170, E222</x:v>
      </x:c>
    </x:row>
    <x:row r="42" ht="60" customHeight="1">
      <x:c r="A42" s="10" t="str">
        <x:v>Somerville</x:v>
      </x:c>
      <x:c r="B42" s="11" t="str">
        <x:v>14590073</x:v>
      </x:c>
      <x:c r="C42" s="10" t="n">
        <x:f>COUNTIFS(Exchanges!$B$8:$B$371,A42,Exchanges!$J$8:$J$371,B42)</x:f>
        <x:v>10</x:v>
      </x:c>
      <x:c r="D42" s="10" t="n">
        <x:v>9</x:v>
      </x:c>
      <x:c r="E42" s="12" t="n">
        <x:v>46281</x:v>
      </x:c>
      <x:c r="F42" s="12" t="n">
        <x:v>46317</x:v>
      </x:c>
      <x:c r="G42" s="10" t="str">
        <x:v>Repeated across days</x:v>
      </x:c>
      <x:c r="H42" s="10"/>
      <x:c r="I42" s="10" t="str">
        <x:v>J. Tayler Somerville</x:v>
      </x:c>
      <x:c r="J42" s="10"/>
      <x:c r="K42" s="10" t="str">
        <x:v>2026-09-16, 2026-09-24, 2026-09-26, 2026-10-02, 2026-10-03, 2026-10-08, 2026-10-09, 2026-10-21, 2026-10-22</x:v>
      </x:c>
      <x:c r="L42" s="10" t="str">
        <x:v>E097, E168, E169, E182, E223, E227, E255, E256, E339, E351</x:v>
      </x:c>
    </x:row>
    <x:row r="43" ht="60" customHeight="1">
      <x:c r="A43" s="10" t="str">
        <x:v>Tonga</x:v>
      </x:c>
      <x:c r="B43" s="11" t="str">
        <x:v>14590038</x:v>
      </x:c>
      <x:c r="C43" s="10" t="n">
        <x:f>COUNTIFS(Exchanges!$B$8:$B$371,A43,Exchanges!$J$8:$J$371,B43)</x:f>
        <x:v>5</x:v>
      </x:c>
      <x:c r="D43" s="10" t="n">
        <x:v>5</x:v>
      </x:c>
      <x:c r="E43" s="12" t="n">
        <x:v>46277</x:v>
      </x:c>
      <x:c r="F43" s="12" t="n">
        <x:v>46315</x:v>
      </x:c>
      <x:c r="G43" s="10" t="str">
        <x:v>Repeated across days</x:v>
      </x:c>
      <x:c r="H43" s="10"/>
      <x:c r="I43" s="10" t="str">
        <x:v>Spencer Tonga</x:v>
      </x:c>
      <x:c r="J43" s="10"/>
      <x:c r="K43" s="10" t="str">
        <x:v>2026-09-12, 2026-09-14, 2026-09-26, 2026-10-10, 2026-10-20</x:v>
      </x:c>
      <x:c r="L43" s="10" t="str">
        <x:v>E071, E085, E183, E278, E333</x:v>
      </x:c>
    </x:row>
    <x:row r="44" ht="60" customHeight="1">
      <x:c r="A44" s="10" t="str">
        <x:v>Tonga</x:v>
      </x:c>
      <x:c r="B44" s="11" t="str">
        <x:v>14590345</x:v>
      </x:c>
      <x:c r="C44" s="10" t="n">
        <x:f>COUNTIFS(Exchanges!$B$8:$B$371,A44,Exchanges!$J$8:$J$371,B44)</x:f>
        <x:v>14</x:v>
      </x:c>
      <x:c r="D44" s="10" t="n">
        <x:v>8</x:v>
      </x:c>
      <x:c r="E44" s="12" t="n">
        <x:v>46276</x:v>
      </x:c>
      <x:c r="F44" s="12" t="n">
        <x:v>46306</x:v>
      </x:c>
      <x:c r="G44" s="10" t="str">
        <x:v>Repeated across days</x:v>
      </x:c>
      <x:c r="H44" s="10"/>
      <x:c r="I44" s="10" t="str">
        <x:v>Spencer Tonga</x:v>
      </x:c>
      <x:c r="J44" s="10"/>
      <x:c r="K44" s="10" t="str">
        <x:v>2026-09-11, 2026-09-12, 2026-09-14, 2026-09-25, 2026-09-26, 2026-10-01, 2026-10-10, 2026-10-11</x:v>
      </x:c>
      <x:c r="L44" s="10" t="str">
        <x:v>E035, E037, E061, E064, E086, E179, E180, E181, E212, E275, E276, E277, E279, E280</x:v>
      </x:c>
    </x:row>
    <x:row r="45" ht="60" customHeight="1">
      <x:c r="A45" s="10" t="str">
        <x:v>Wagley</x:v>
      </x:c>
      <x:c r="B45" s="11" t="str">
        <x:v>14590079</x:v>
      </x:c>
      <x:c r="C45" s="10" t="n">
        <x:f>COUNTIFS(Exchanges!$B$8:$B$371,A45,Exchanges!$J$8:$J$371,B45)</x:f>
        <x:v>5</x:v>
      </x:c>
      <x:c r="D45" s="10" t="n">
        <x:v>5</x:v>
      </x:c>
      <x:c r="E45" s="12" t="n">
        <x:v>46275</x:v>
      </x:c>
      <x:c r="F45" s="12" t="n">
        <x:v>46316</x:v>
      </x:c>
      <x:c r="G45" s="10" t="str">
        <x:v>Repeated across days</x:v>
      </x:c>
      <x:c r="H45" s="10"/>
      <x:c r="I45" s="10" t="str">
        <x:v>Jonathan Wagley</x:v>
      </x:c>
      <x:c r="J45" s="10"/>
      <x:c r="K45" s="10" t="str">
        <x:v>2026-09-10, 2026-09-23, 2026-09-28, 2026-10-08, 2026-10-21</x:v>
      </x:c>
      <x:c r="L45" s="10" t="str">
        <x:v>E008, E160, E201, E252, E338</x:v>
      </x:c>
    </x:row>
    <x:row r="46" ht="60" customHeight="1">
      <x:c r="A46" s="10" t="str">
        <x:v>Greg</x:v>
      </x:c>
      <x:c r="B46" s="11" t="str">
        <x:v>14590026</x:v>
      </x:c>
      <x:c r="C46" s="10" t="n">
        <x:f>COUNTIFS(Exchanges!$B$8:$B$371,A46,Exchanges!$J$8:$J$371,B46)</x:f>
        <x:v>1</x:v>
      </x:c>
      <x:c r="D46" s="10" t="n">
        <x:v>1</x:v>
      </x:c>
      <x:c r="E46" s="12" t="n">
        <x:v>46276</x:v>
      </x:c>
      <x:c r="F46" s="12" t="n">
        <x:v>46276</x:v>
      </x:c>
      <x:c r="G46" s="10" t="str">
        <x:v>Single-day candidate</x:v>
      </x:c>
      <x:c r="H46" s="10"/>
      <x:c r="I46" s="10" t="str">
        <x:v>Greg B. Mecham</x:v>
      </x:c>
      <x:c r="J46" s="10" t="str">
        <x:v>Brief uncertain hail; most other Greg replies use 14590098. Do not assume 14590026 is Greg on other days.</x:v>
      </x:c>
      <x:c r="K46" s="10" t="str">
        <x:v>2026-09-11</x:v>
      </x:c>
      <x:c r="L46" s="10" t="str">
        <x:v>E034</x:v>
      </x:c>
    </x:row>
    <x:row r="47" ht="60" customHeight="1">
      <x:c r="A47" s="10" t="str">
        <x:v>Heaton / Colby</x:v>
      </x:c>
      <x:c r="B47" s="11" t="str">
        <x:v>14590031</x:v>
      </x:c>
      <x:c r="C47" s="10" t="n">
        <x:f>COUNTIFS(Exchanges!$B$8:$B$371,A47,Exchanges!$J$8:$J$371,B47)</x:f>
        <x:v>1</x:v>
      </x:c>
      <x:c r="D47" s="10" t="n">
        <x:v>1</x:v>
      </x:c>
      <x:c r="E47" s="12" t="n">
        <x:v>46304</x:v>
      </x:c>
      <x:c r="F47" s="12" t="n">
        <x:v>46304</x:v>
      </x:c>
      <x:c r="G47" s="10" t="str">
        <x:v>Single-day candidate</x:v>
      </x:c>
      <x:c r="H47" s="10"/>
      <x:c r="I47" s="10" t="str">
        <x:v>Colby A. Heaton</x:v>
      </x:c>
      <x:c r="J47" s="10" t="str">
        <x:v>Includes both Heaton and Colby hails. 14590100 also answers Sam; 14590091 answers other names. Officer/crew assignment is unresolved.</x:v>
      </x:c>
      <x:c r="K47" s="10" t="str">
        <x:v>2026-10-09</x:v>
      </x:c>
      <x:c r="L47" s="10" t="str">
        <x:v>E260</x:v>
      </x:c>
    </x:row>
    <x:row r="48" ht="60" customHeight="1">
      <x:c r="A48" s="10" t="str">
        <x:v>Heaton / Colby</x:v>
      </x:c>
      <x:c r="B48" s="11" t="str">
        <x:v>14590101</x:v>
      </x:c>
      <x:c r="C48" s="10" t="n">
        <x:f>COUNTIFS(Exchanges!$B$8:$B$371,A48,Exchanges!$J$8:$J$371,B48)</x:f>
        <x:v>1</x:v>
      </x:c>
      <x:c r="D48" s="10" t="n">
        <x:v>1</x:v>
      </x:c>
      <x:c r="E48" s="12" t="n">
        <x:v>46277</x:v>
      </x:c>
      <x:c r="F48" s="12" t="n">
        <x:v>46277</x:v>
      </x:c>
      <x:c r="G48" s="10" t="str">
        <x:v>Single-day candidate</x:v>
      </x:c>
      <x:c r="H48" s="10"/>
      <x:c r="I48" s="10" t="str">
        <x:v>Colby A. Heaton</x:v>
      </x:c>
      <x:c r="J48" s="10" t="str">
        <x:v>Includes both Heaton and Colby hails. 14590100 also answers Sam; 14590091 answers other names. Officer/crew assignment is unresolved.</x:v>
      </x:c>
      <x:c r="K48" s="10" t="str">
        <x:v>2026-09-12</x:v>
      </x:c>
      <x:c r="L48" s="10" t="str">
        <x:v>E046</x:v>
      </x:c>
    </x:row>
    <x:row r="49" ht="60" customHeight="1">
      <x:c r="A49" s="10" t="str">
        <x:v>Jackie</x:v>
      </x:c>
      <x:c r="B49" s="11" t="str">
        <x:v>14590103</x:v>
      </x:c>
      <x:c r="C49" s="10" t="n">
        <x:f>COUNTIFS(Exchanges!$B$8:$B$371,A49,Exchanges!$J$8:$J$371,B49)</x:f>
        <x:v>1</x:v>
      </x:c>
      <x:c r="D49" s="10" t="n">
        <x:v>1</x:v>
      </x:c>
      <x:c r="E49" s="12" t="n">
        <x:v>46307</x:v>
      </x:c>
      <x:c r="F49" s="12" t="n">
        <x:v>46307</x:v>
      </x:c>
      <x:c r="G49" s="10" t="str">
        <x:v>Single-day candidate</x:v>
      </x:c>
      <x:c r="H49" s="10"/>
      <x:c r="I49" s="10" t="str">
        <x:v>Jaclyn G. Strong (candidate)</x:v>
      </x:c>
      <x:c r="J49" s="10" t="str">
        <x:v>Mostly 14590104 and 14590200; 14590103 has only one uncertain exchange. No roster identity assigned from the nickname alone.</x:v>
      </x:c>
      <x:c r="K49" s="10" t="str">
        <x:v>2026-10-12</x:v>
      </x:c>
      <x:c r="L49" s="10" t="str">
        <x:v>E297</x:v>
      </x:c>
    </x:row>
    <x:row r="50" ht="60" customHeight="1">
      <x:c r="A50" s="10" t="str">
        <x:v>Kitchen</x:v>
      </x:c>
      <x:c r="B50" s="11" t="str">
        <x:v>14590043</x:v>
      </x:c>
      <x:c r="C50" s="10" t="n">
        <x:f>COUNTIFS(Exchanges!$B$8:$B$371,A50,Exchanges!$J$8:$J$371,B50)</x:f>
        <x:v>1</x:v>
      </x:c>
      <x:c r="D50" s="10" t="n">
        <x:v>1</x:v>
      </x:c>
      <x:c r="E50" s="12" t="n">
        <x:v>46304</x:v>
      </x:c>
      <x:c r="F50" s="12" t="n">
        <x:v>46304</x:v>
      </x:c>
      <x:c r="G50" s="10" t="str">
        <x:v>Single-day candidate</x:v>
      </x:c>
      <x:c r="H50" s="10"/>
      <x:c r="I50" s="10" t="str">
        <x:v>Bronson T. Kitchen (candidate)</x:v>
      </x:c>
      <x:c r="J50" s="10" t="str">
        <x:v>Name is transcribed as [Jason / Kitchen]; audio review needed.</x:v>
      </x:c>
      <x:c r="K50" s="10" t="str">
        <x:v>2026-10-09</x:v>
      </x:c>
      <x:c r="L50" s="10" t="str">
        <x:v>E259</x:v>
      </x:c>
    </x:row>
    <x:row r="51" ht="60" customHeight="1">
      <x:c r="A51" s="10" t="str">
        <x:v>Laycock</x:v>
      </x:c>
      <x:c r="B51" s="11" t="str">
        <x:v>14590025</x:v>
      </x:c>
      <x:c r="C51" s="10" t="n">
        <x:f>COUNTIFS(Exchanges!$B$8:$B$371,A51,Exchanges!$J$8:$J$371,B51)</x:f>
        <x:v>1</x:v>
      </x:c>
      <x:c r="D51" s="10" t="n">
        <x:v>1</x:v>
      </x:c>
      <x:c r="E51" s="12" t="n">
        <x:v>46287</x:v>
      </x:c>
      <x:c r="F51" s="12" t="n">
        <x:v>46287</x:v>
      </x:c>
      <x:c r="G51" s="10" t="str">
        <x:v>Conflicting names on ID</x:v>
      </x:c>
      <x:c r="H51" s="10" t="str">
        <x:v>Jake</x:v>
      </x:c>
      <x:c r="I51" s="10" t="str">
        <x:v>Jake D. Laycock</x:v>
      </x:c>
      <x:c r="J51" s="10" t="str">
        <x:v>Surname hail is marked uncertain in the transcript. This supports a Laycock candidate for 14590025, not for every ID answering Jake.</x:v>
      </x:c>
      <x:c r="K51" s="10" t="str">
        <x:v>2026-09-22</x:v>
      </x:c>
      <x:c r="L51" s="10" t="str">
        <x:v>E143</x:v>
      </x:c>
    </x:row>
    <x:row r="52" ht="60" customHeight="1">
      <x:c r="A52" s="10" t="str">
        <x:v>Murray</x:v>
      </x:c>
      <x:c r="B52" s="11" t="str">
        <x:v>14590266</x:v>
      </x:c>
      <x:c r="C52" s="10" t="n">
        <x:f>COUNTIFS(Exchanges!$B$8:$B$371,A52,Exchanges!$J$8:$J$371,B52)</x:f>
        <x:v>2</x:v>
      </x:c>
      <x:c r="D52" s="10" t="n">
        <x:v>1</x:v>
      </x:c>
      <x:c r="E52" s="12" t="n">
        <x:v>46298</x:v>
      </x:c>
      <x:c r="F52" s="12" t="n">
        <x:v>46298</x:v>
      </x:c>
      <x:c r="G52" s="10" t="str">
        <x:v>Single-day candidate</x:v>
      </x:c>
      <x:c r="H52" s="10"/>
      <x:c r="I52" s="10" t="str">
        <x:v>Austin W. Murray</x:v>
      </x:c>
      <x:c r="J52" s="10"/>
      <x:c r="K52" s="10" t="str">
        <x:v>2026-10-03</x:v>
      </x:c>
      <x:c r="L52" s="10" t="str">
        <x:v>E228, E229</x:v>
      </x:c>
    </x:row>
    <x:row r="53" ht="60" customHeight="1">
      <x:c r="A53" s="10" t="str">
        <x:v>Renter</x:v>
      </x:c>
      <x:c r="B53" s="11" t="str">
        <x:v>14590219</x:v>
      </x:c>
      <x:c r="C53" s="10" t="n">
        <x:f>COUNTIFS(Exchanges!$B$8:$B$371,A53,Exchanges!$J$8:$J$371,B53)</x:f>
        <x:v>2</x:v>
      </x:c>
      <x:c r="D53" s="10" t="n">
        <x:v>1</x:v>
      </x:c>
      <x:c r="E53" s="12" t="n">
        <x:v>46306</x:v>
      </x:c>
      <x:c r="F53" s="12" t="n">
        <x:v>46306</x:v>
      </x:c>
      <x:c r="G53" s="10" t="str">
        <x:v>Single-day candidate</x:v>
      </x:c>
      <x:c r="H53" s="10"/>
      <x:c r="I53" s="10" t="str">
        <x:v>Dustin R. Renter</x:v>
      </x:c>
      <x:c r="J53" s="10"/>
      <x:c r="K53" s="10" t="str">
        <x:v>2026-10-11</x:v>
      </x:c>
      <x:c r="L53" s="10" t="str">
        <x:v>E284, E285</x:v>
      </x:c>
    </x:row>
    <x:row r="54" ht="60" customHeight="1">
      <x:c r="A54" s="10" t="str">
        <x:v>Sam</x:v>
      </x:c>
      <x:c r="B54" s="11" t="str">
        <x:v>14590066</x:v>
      </x:c>
      <x:c r="C54" s="10" t="n">
        <x:f>COUNTIFS(Exchanges!$B$8:$B$371,A54,Exchanges!$J$8:$J$371,B54)</x:f>
        <x:v>1</x:v>
      </x:c>
      <x:c r="D54" s="10" t="n">
        <x:v>1</x:v>
      </x:c>
      <x:c r="E54" s="12" t="n">
        <x:v>46293</x:v>
      </x:c>
      <x:c r="F54" s="12" t="n">
        <x:v>46293</x:v>
      </x:c>
      <x:c r="G54" s="10" t="str">
        <x:v>Single-day candidate</x:v>
      </x:c>
      <x:c r="H54" s="10"/>
      <x:c r="I54" s="10" t="str">
        <x:v>Multiple candidates</x:v>
      </x:c>
      <x:c r="J54" s="10" t="str">
        <x:v>Several officers use Sam or Samuel. Do not combine these IDs into one officer identity.</x:v>
      </x:c>
      <x:c r="K54" s="10" t="str">
        <x:v>2026-09-28</x:v>
      </x:c>
      <x:c r="L54" s="10" t="str">
        <x:v>E205</x:v>
      </x:c>
    </x:row>
    <x:row r="55" ht="60" customHeight="1">
      <x:c r="A55" s="10" t="str">
        <x:v>Sam</x:v>
      </x:c>
      <x:c r="B55" s="11" t="str">
        <x:v>14590090</x:v>
      </x:c>
      <x:c r="C55" s="10" t="n">
        <x:f>COUNTIFS(Exchanges!$B$8:$B$371,A55,Exchanges!$J$8:$J$371,B55)</x:f>
        <x:v>2</x:v>
      </x:c>
      <x:c r="D55" s="10" t="n">
        <x:v>1</x:v>
      </x:c>
      <x:c r="E55" s="12" t="n">
        <x:v>46293</x:v>
      </x:c>
      <x:c r="F55" s="12" t="n">
        <x:v>46293</x:v>
      </x:c>
      <x:c r="G55" s="10" t="str">
        <x:v>Single-day candidate</x:v>
      </x:c>
      <x:c r="H55" s="10"/>
      <x:c r="I55" s="10" t="str">
        <x:v>Multiple candidates</x:v>
      </x:c>
      <x:c r="J55" s="10" t="str">
        <x:v>Several officers use Sam or Samuel. Do not combine these IDs into one officer identity.</x:v>
      </x:c>
      <x:c r="K55" s="10" t="str">
        <x:v>2026-09-28</x:v>
      </x:c>
      <x:c r="L55" s="10" t="str">
        <x:v>E203, E204</x:v>
      </x:c>
    </x:row>
    <x:row r="56" ht="60" customHeight="1">
      <x:c r="A56" s="10" t="str">
        <x:v>Sam</x:v>
      </x:c>
      <x:c r="B56" s="11" t="str">
        <x:v>14590268</x:v>
      </x:c>
      <x:c r="C56" s="10" t="n">
        <x:f>COUNTIFS(Exchanges!$B$8:$B$371,A56,Exchanges!$J$8:$J$371,B56)</x:f>
        <x:v>1</x:v>
      </x:c>
      <x:c r="D56" s="10" t="n">
        <x:v>1</x:v>
      </x:c>
      <x:c r="E56" s="12" t="n">
        <x:v>46302</x:v>
      </x:c>
      <x:c r="F56" s="12" t="n">
        <x:v>46302</x:v>
      </x:c>
      <x:c r="G56" s="10" t="str">
        <x:v>Single-day candidate</x:v>
      </x:c>
      <x:c r="H56" s="10"/>
      <x:c r="I56" s="10" t="str">
        <x:v>Multiple candidates</x:v>
      </x:c>
      <x:c r="J56" s="10" t="str">
        <x:v>Several officers use Sam or Samuel. Do not combine these IDs into one officer identity.</x:v>
      </x:c>
      <x:c r="K56" s="10" t="str">
        <x:v>2026-10-07</x:v>
      </x:c>
      <x:c r="L56" s="10" t="str">
        <x:v>E247</x:v>
      </x:c>
    </x:row>
    <x:row r="57" ht="60" customHeight="1">
      <x:c r="A57" s="10" t="str">
        <x:v>Tyler</x:v>
      </x:c>
      <x:c r="B57" s="11" t="str">
        <x:v>14590085</x:v>
      </x:c>
      <x:c r="C57" s="10" t="n">
        <x:f>COUNTIFS(Exchanges!$B$8:$B$371,A57,Exchanges!$J$8:$J$371,B57)</x:f>
        <x:v>1</x:v>
      </x:c>
      <x:c r="D57" s="10" t="n">
        <x:v>1</x:v>
      </x:c>
      <x:c r="E57" s="12" t="n">
        <x:v>46302</x:v>
      </x:c>
      <x:c r="F57" s="12" t="n">
        <x:v>46302</x:v>
      </x:c>
      <x:c r="G57" s="10" t="str">
        <x:v>Single-day candidate</x:v>
      </x:c>
      <x:c r="H57" s="10"/>
      <x:c r="I57" s="10" t="str">
        <x:v>Unresolved</x:v>
      </x:c>
      <x:c r="J57" s="10" t="str">
        <x:v>Spoken name Tyler; no full-name identity assigned. Do not equate this with Tayler Somerville.</x:v>
      </x:c>
      <x:c r="K57" s="10" t="str">
        <x:v>2026-10-07</x:v>
      </x:c>
      <x:c r="L57" s="10" t="str">
        <x:v>E249</x:v>
      </x:c>
    </x:row>
    <x:row r="58" ht="60" customHeight="1">
      <x:c r="A58" s="10" t="str">
        <x:v>Valadez</x:v>
      </x:c>
      <x:c r="B58" s="11" t="str">
        <x:v>14590126</x:v>
      </x:c>
      <x:c r="C58" s="10" t="n">
        <x:f>COUNTIFS(Exchanges!$B$8:$B$371,A58,Exchanges!$J$8:$J$371,B58)</x:f>
        <x:v>1</x:v>
      </x:c>
      <x:c r="D58" s="10" t="n">
        <x:v>1</x:v>
      </x:c>
      <x:c r="E58" s="12" t="n">
        <x:v>46280</x:v>
      </x:c>
      <x:c r="F58" s="12" t="n">
        <x:v>46280</x:v>
      </x:c>
      <x:c r="G58" s="10" t="str">
        <x:v>Conflicting names on ID</x:v>
      </x:c>
      <x:c r="H58" s="10" t="str">
        <x:v>Phil</x:v>
      </x:c>
      <x:c r="I58" s="10" t="str">
        <x:v>Mckay or Philip Valadez</x:v>
      </x:c>
      <x:c r="J58" s="10" t="str">
        <x:v>Surname is uncertain in transcript. Do not use this one exchange to prove which Valadez is speaking.</x:v>
      </x:c>
      <x:c r="K58" s="10" t="str">
        <x:v>2026-09-15</x:v>
      </x:c>
      <x:c r="L58" s="10" t="str">
        <x:v>E093</x:v>
      </x:c>
    </x:row>
    <x:row r="59" ht="60" customHeight="1">
      <x:c r="A59" s="10" t="str">
        <x:v>Colton</x:v>
      </x:c>
      <x:c r="B59" s="11" t="str">
        <x:v>14590091</x:v>
      </x:c>
      <x:c r="C59" s="10" t="n">
        <x:f>COUNTIFS(Exchanges!$B$8:$B$371,A59,Exchanges!$J$8:$J$371,B59)</x:f>
        <x:v>1</x:v>
      </x:c>
      <x:c r="D59" s="10" t="n">
        <x:v>1</x:v>
      </x:c>
      <x:c r="E59" s="12" t="n">
        <x:v>46300</x:v>
      </x:c>
      <x:c r="F59" s="12" t="n">
        <x:v>46300</x:v>
      </x:c>
      <x:c r="G59" s="10" t="str">
        <x:v>Conflicting names on ID</x:v>
      </x:c>
      <x:c r="H59" s="10" t="str">
        <x:v>Ethan, Heaton / Colby</x:v>
      </x:c>
      <x:c r="I59" s="10" t="str">
        <x:v>Multiple candidates</x:v>
      </x:c>
      <x:c r="J59" s="10" t="str">
        <x:v>14590091 also answers Heaton/Colby and Ethan. Could be transcript error, shared radio, or a different responder.</x:v>
      </x:c>
      <x:c r="K59" s="10" t="str">
        <x:v>2026-10-05</x:v>
      </x:c>
      <x:c r="L59" s="10" t="str">
        <x:v>E243</x:v>
      </x:c>
    </x:row>
    <x:row r="60" ht="60" customHeight="1">
      <x:c r="A60" s="10" t="str">
        <x:v>Ethan</x:v>
      </x:c>
      <x:c r="B60" s="11" t="str">
        <x:v>14590091</x:v>
      </x:c>
      <x:c r="C60" s="10" t="n">
        <x:f>COUNTIFS(Exchanges!$B$8:$B$371,A60,Exchanges!$J$8:$J$371,B60)</x:f>
        <x:v>2</x:v>
      </x:c>
      <x:c r="D60" s="10" t="n">
        <x:v>1</x:v>
      </x:c>
      <x:c r="E60" s="12" t="n">
        <x:v>46292</x:v>
      </x:c>
      <x:c r="F60" s="12" t="n">
        <x:v>46292</x:v>
      </x:c>
      <x:c r="G60" s="10" t="str">
        <x:v>Conflicting names on ID</x:v>
      </x:c>
      <x:c r="H60" s="10" t="str">
        <x:v>Colton, Heaton / Colby</x:v>
      </x:c>
      <x:c r="I60" s="10" t="str">
        <x:v>Ethan C. Simmons</x:v>
      </x:c>
      <x:c r="J60" s="10" t="str">
        <x:v>14590091 also answers Heaton/Colby and Colton; 14590225 also answers Josh. Response adjacency may identify a crew or a different responder.</x:v>
      </x:c>
      <x:c r="K60" s="10" t="str">
        <x:v>2026-09-27</x:v>
      </x:c>
      <x:c r="L60" s="10" t="str">
        <x:v>E197, E198</x:v>
      </x:c>
    </x:row>
    <x:row r="61" ht="60" customHeight="1">
      <x:c r="A61" s="10" t="str">
        <x:v>Ethan</x:v>
      </x:c>
      <x:c r="B61" s="11" t="str">
        <x:v>14590225</x:v>
      </x:c>
      <x:c r="C61" s="10" t="n">
        <x:f>COUNTIFS(Exchanges!$B$8:$B$371,A61,Exchanges!$J$8:$J$371,B61)</x:f>
        <x:v>1</x:v>
      </x:c>
      <x:c r="D61" s="10" t="n">
        <x:v>1</x:v>
      </x:c>
      <x:c r="E61" s="12" t="n">
        <x:v>46310</x:v>
      </x:c>
      <x:c r="F61" s="12" t="n">
        <x:v>46310</x:v>
      </x:c>
      <x:c r="G61" s="10" t="str">
        <x:v>Conflicting names on ID</x:v>
      </x:c>
      <x:c r="H61" s="10" t="str">
        <x:v>Jensen / Josh</x:v>
      </x:c>
      <x:c r="I61" s="10" t="str">
        <x:v>Ethan C. Simmons</x:v>
      </x:c>
      <x:c r="J61" s="10" t="str">
        <x:v>14590091 also answers Heaton/Colby and Colton; 14590225 also answers Josh. Response adjacency may identify a crew or a different responder.</x:v>
      </x:c>
      <x:c r="K61" s="10" t="str">
        <x:v>2026-10-15</x:v>
      </x:c>
      <x:c r="L61" s="10" t="str">
        <x:v>E311</x:v>
      </x:c>
    </x:row>
    <x:row r="62" ht="60" customHeight="1">
      <x:c r="A62" s="10" t="str">
        <x:v>Hawkins</x:v>
      </x:c>
      <x:c r="B62" s="11" t="str">
        <x:v>14590036</x:v>
      </x:c>
      <x:c r="C62" s="10" t="n">
        <x:f>COUNTIFS(Exchanges!$B$8:$B$371,A62,Exchanges!$J$8:$J$371,B62)</x:f>
        <x:v>4</x:v>
      </x:c>
      <x:c r="D62" s="10" t="n">
        <x:v>3</x:v>
      </x:c>
      <x:c r="E62" s="12" t="n">
        <x:v>46276</x:v>
      </x:c>
      <x:c r="F62" s="12" t="n">
        <x:v>46310</x:v>
      </x:c>
      <x:c r="G62" s="10" t="str">
        <x:v>Conflicting names on ID</x:v>
      </x:c>
      <x:c r="H62" s="10" t="str">
        <x:v>Mitch</x:v>
      </x:c>
      <x:c r="I62" s="10" t="str">
        <x:v>Steven G. Hawkins</x:v>
      </x:c>
      <x:c r="J62" s="10" t="str">
        <x:v>14590036 also answers hails to Mitch. Keep this as an exchange-level association.</x:v>
      </x:c>
      <x:c r="K62" s="10" t="str">
        <x:v>2026-09-11, 2026-09-12, 2026-10-15</x:v>
      </x:c>
      <x:c r="L62" s="10" t="str">
        <x:v>E026, E068, E070, E317</x:v>
      </x:c>
    </x:row>
    <x:row r="63" ht="60" customHeight="1">
      <x:c r="A63" s="10" t="str">
        <x:v>Heaton / Colby</x:v>
      </x:c>
      <x:c r="B63" s="11" t="str">
        <x:v>14590091</x:v>
      </x:c>
      <x:c r="C63" s="10" t="n">
        <x:f>COUNTIFS(Exchanges!$B$8:$B$371,A63,Exchanges!$J$8:$J$371,B63)</x:f>
        <x:v>2</x:v>
      </x:c>
      <x:c r="D63" s="10" t="n">
        <x:v>1</x:v>
      </x:c>
      <x:c r="E63" s="12" t="n">
        <x:v>46290</x:v>
      </x:c>
      <x:c r="F63" s="12" t="n">
        <x:v>46290</x:v>
      </x:c>
      <x:c r="G63" s="10" t="str">
        <x:v>Conflicting names on ID</x:v>
      </x:c>
      <x:c r="H63" s="10" t="str">
        <x:v>Colton, Ethan</x:v>
      </x:c>
      <x:c r="I63" s="10" t="str">
        <x:v>Colby A. Heaton</x:v>
      </x:c>
      <x:c r="J63" s="10" t="str">
        <x:v>Includes both Heaton and Colby hails. 14590100 also answers Sam; 14590091 answers other names. Officer/crew assignment is unresolved.</x:v>
      </x:c>
      <x:c r="K63" s="10" t="str">
        <x:v>2026-09-25</x:v>
      </x:c>
      <x:c r="L63" s="10" t="str">
        <x:v>E173, E175</x:v>
      </x:c>
    </x:row>
    <x:row r="64" ht="60" customHeight="1">
      <x:c r="A64" s="10" t="str">
        <x:v>Heaton / Colby</x:v>
      </x:c>
      <x:c r="B64" s="11" t="str">
        <x:v>14590100</x:v>
      </x:c>
      <x:c r="C64" s="10" t="n">
        <x:f>COUNTIFS(Exchanges!$B$8:$B$371,A64,Exchanges!$J$8:$J$371,B64)</x:f>
        <x:v>3</x:v>
      </x:c>
      <x:c r="D64" s="10" t="n">
        <x:v>2</x:v>
      </x:c>
      <x:c r="E64" s="12" t="n">
        <x:v>46309</x:v>
      </x:c>
      <x:c r="F64" s="12" t="n">
        <x:v>46315</x:v>
      </x:c>
      <x:c r="G64" s="10" t="str">
        <x:v>Conflicting names on ID</x:v>
      </x:c>
      <x:c r="H64" s="10" t="str">
        <x:v>Sam</x:v>
      </x:c>
      <x:c r="I64" s="10" t="str">
        <x:v>Colby A. Heaton</x:v>
      </x:c>
      <x:c r="J64" s="10" t="str">
        <x:v>Includes both Heaton and Colby hails. 14590100 also answers Sam; 14590091 answers other names. Officer/crew assignment is unresolved.</x:v>
      </x:c>
      <x:c r="K64" s="10" t="str">
        <x:v>2026-10-14, 2026-10-20</x:v>
      </x:c>
      <x:c r="L64" s="10" t="str">
        <x:v>E301, E329, E331</x:v>
      </x:c>
    </x:row>
    <x:row r="65" ht="60" customHeight="1">
      <x:c r="A65" s="10" t="str">
        <x:v>Jensen / Josh</x:v>
      </x:c>
      <x:c r="B65" s="11" t="str">
        <x:v>14590225</x:v>
      </x:c>
      <x:c r="C65" s="10" t="n">
        <x:f>COUNTIFS(Exchanges!$B$8:$B$371,A65,Exchanges!$J$8:$J$371,B65)</x:f>
        <x:v>1</x:v>
      </x:c>
      <x:c r="D65" s="10" t="n">
        <x:v>1</x:v>
      </x:c>
      <x:c r="E65" s="12" t="n">
        <x:v>46300</x:v>
      </x:c>
      <x:c r="F65" s="12" t="n">
        <x:v>46300</x:v>
      </x:c>
      <x:c r="G65" s="10" t="str">
        <x:v>Conflicting names on ID</x:v>
      </x:c>
      <x:c r="H65" s="10" t="str">
        <x:v>Ethan</x:v>
      </x:c>
      <x:c r="I65" s="10" t="str">
        <x:v>Joshua M. Jensen (candidate)</x:v>
      </x:c>
      <x:c r="J65" s="10" t="str">
        <x:v>Both Jensen and Josh are represented; Joshua Jensen is a candidate. First-name replies alone do not rule out other Joshuas.</x:v>
      </x:c>
      <x:c r="K65" s="10" t="str">
        <x:v>2026-10-05</x:v>
      </x:c>
      <x:c r="L65" s="10" t="str">
        <x:v>E237</x:v>
      </x:c>
    </x:row>
    <x:row r="66" ht="60" customHeight="1">
      <x:c r="A66" s="10" t="str">
        <x:v>Luke</x:v>
      </x:c>
      <x:c r="B66" s="11" t="str">
        <x:v>14590221</x:v>
      </x:c>
      <x:c r="C66" s="10" t="n">
        <x:f>COUNTIFS(Exchanges!$B$8:$B$371,A66,Exchanges!$J$8:$J$371,B66)</x:f>
        <x:v>1</x:v>
      </x:c>
      <x:c r="D66" s="10" t="n">
        <x:v>1</x:v>
      </x:c>
      <x:c r="E66" s="12" t="n">
        <x:v>46316</x:v>
      </x:c>
      <x:c r="F66" s="12" t="n">
        <x:v>46316</x:v>
      </x:c>
      <x:c r="G66" s="10" t="str">
        <x:v>Conflicting names on ID</x:v>
      </x:c>
      <x:c r="H66" s="10" t="str">
        <x:v>Sam</x:v>
      </x:c>
      <x:c r="I66" s="10" t="str">
        <x:v>Luke A. Sumbot</x:v>
      </x:c>
      <x:c r="J66" s="10" t="str">
        <x:v>14590221 also answers hails to Sam. This short reply does not establish that the transmitter is Luke.</x:v>
      </x:c>
      <x:c r="K66" s="10" t="str">
        <x:v>2026-10-21</x:v>
      </x:c>
      <x:c r="L66" s="10" t="str">
        <x:v>E334</x:v>
      </x:c>
    </x:row>
    <x:row r="67" ht="60" customHeight="1">
      <x:c r="A67" s="10" t="str">
        <x:v>McClellan / Dennis</x:v>
      </x:c>
      <x:c r="B67" s="11" t="str">
        <x:v>14590019</x:v>
      </x:c>
      <x:c r="C67" s="10" t="n">
        <x:f>COUNTIFS(Exchanges!$B$8:$B$371,A67,Exchanges!$J$8:$J$371,B67)</x:f>
        <x:v>3</x:v>
      </x:c>
      <x:c r="D67" s="10" t="n">
        <x:v>3</x:v>
      </x:c>
      <x:c r="E67" s="12" t="n">
        <x:v>46294</x:v>
      </x:c>
      <x:c r="F67" s="12" t="n">
        <x:v>46298</x:v>
      </x:c>
      <x:c r="G67" s="10" t="str">
        <x:v>Conflicting names on ID</x:v>
      </x:c>
      <x:c r="H67" s="10" t="str">
        <x:v>Wagley</x:v>
      </x:c>
      <x:c r="I67" s="10" t="str">
        <x:v>Dennis R. McClellan</x:v>
      </x:c>
      <x:c r="J67" s="10"/>
      <x:c r="K67" s="10" t="str">
        <x:v>2026-09-29, 2026-10-02, 2026-10-03</x:v>
      </x:c>
      <x:c r="L67" s="10" t="str">
        <x:v>E208, E221, E226</x:v>
      </x:c>
    </x:row>
    <x:row r="68" ht="60" customHeight="1">
      <x:c r="A68" s="10" t="str">
        <x:v>Mitch</x:v>
      </x:c>
      <x:c r="B68" s="11" t="str">
        <x:v>14590036</x:v>
      </x:c>
      <x:c r="C68" s="10" t="n">
        <x:f>COUNTIFS(Exchanges!$B$8:$B$371,A68,Exchanges!$J$8:$J$371,B68)</x:f>
        <x:v>3</x:v>
      </x:c>
      <x:c r="D68" s="10" t="n">
        <x:v>2</x:v>
      </x:c>
      <x:c r="E68" s="12" t="n">
        <x:v>46281</x:v>
      </x:c>
      <x:c r="F68" s="12" t="n">
        <x:v>46310</x:v>
      </x:c>
      <x:c r="G68" s="10" t="str">
        <x:v>Conflicting names on ID</x:v>
      </x:c>
      <x:c r="H68" s="10" t="str">
        <x:v>Hawkins</x:v>
      </x:c>
      <x:c r="I68" s="10" t="str">
        <x:v>Mitchell R. Godfrey (candidate)</x:v>
      </x:c>
      <x:c r="J68" s="10" t="str">
        <x:v>14590036 also answers Hawkins. Keep 14590344 separate from 14590036 pending audio and assignment confirmation.</x:v>
      </x:c>
      <x:c r="K68" s="10" t="str">
        <x:v>2026-09-16, 2026-10-15</x:v>
      </x:c>
      <x:c r="L68" s="10" t="str">
        <x:v>E110, E313, E316</x:v>
      </x:c>
    </x:row>
    <x:row r="69" ht="60" customHeight="1">
      <x:c r="A69" s="10" t="str">
        <x:v>Sam</x:v>
      </x:c>
      <x:c r="B69" s="11" t="str">
        <x:v>14590100</x:v>
      </x:c>
      <x:c r="C69" s="10" t="n">
        <x:f>COUNTIFS(Exchanges!$B$8:$B$371,A69,Exchanges!$J$8:$J$371,B69)</x:f>
        <x:v>3</x:v>
      </x:c>
      <x:c r="D69" s="10" t="n">
        <x:v>2</x:v>
      </x:c>
      <x:c r="E69" s="12" t="n">
        <x:v>46284</x:v>
      </x:c>
      <x:c r="F69" s="12" t="n">
        <x:v>46289</x:v>
      </x:c>
      <x:c r="G69" s="10" t="str">
        <x:v>Conflicting names on ID</x:v>
      </x:c>
      <x:c r="H69" s="10" t="str">
        <x:v>Heaton / Colby</x:v>
      </x:c>
      <x:c r="I69" s="10" t="str">
        <x:v>Multiple candidates</x:v>
      </x:c>
      <x:c r="J69" s="10" t="str">
        <x:v>Several officers use Sam or Samuel. Do not combine these IDs into one officer identity.</x:v>
      </x:c>
      <x:c r="K69" s="10" t="str">
        <x:v>2026-09-19, 2026-09-24</x:v>
      </x:c>
      <x:c r="L69" s="10" t="str">
        <x:v>E130, E163, E164</x:v>
      </x:c>
    </x:row>
    <x:row r="70" ht="60" customHeight="1">
      <x:c r="A70" s="10" t="str">
        <x:v>Sam</x:v>
      </x:c>
      <x:c r="B70" s="11" t="str">
        <x:v>14590221</x:v>
      </x:c>
      <x:c r="C70" s="10" t="n">
        <x:f>COUNTIFS(Exchanges!$B$8:$B$371,A70,Exchanges!$J$8:$J$371,B70)</x:f>
        <x:v>3</x:v>
      </x:c>
      <x:c r="D70" s="10" t="n">
        <x:v>3</x:v>
      </x:c>
      <x:c r="E70" s="12" t="n">
        <x:v>46285</x:v>
      </x:c>
      <x:c r="F70" s="12" t="n">
        <x:v>46312</x:v>
      </x:c>
      <x:c r="G70" s="10" t="str">
        <x:v>Conflicting names on ID</x:v>
      </x:c>
      <x:c r="H70" s="10" t="str">
        <x:v>Luke</x:v>
      </x:c>
      <x:c r="I70" s="10" t="str">
        <x:v>Multiple candidates</x:v>
      </x:c>
      <x:c r="J70" s="10" t="str">
        <x:v>Several officers use Sam or Samuel. Do not combine these IDs into one officer identity.</x:v>
      </x:c>
      <x:c r="K70" s="10" t="str">
        <x:v>2026-09-20, 2026-10-13, 2026-10-17</x:v>
      </x:c>
      <x:c r="L70" s="10" t="str">
        <x:v>E134, E298, E324</x:v>
      </x:c>
    </x:row>
    <x:row r="71" ht="60" customHeight="1">
      <x:c r="A71" s="10" t="str">
        <x:v>Wagley</x:v>
      </x:c>
      <x:c r="B71" s="11" t="str">
        <x:v>14590019</x:v>
      </x:c>
      <x:c r="C71" s="10" t="n">
        <x:f>COUNTIFS(Exchanges!$B$8:$B$371,A71,Exchanges!$J$8:$J$371,B71)</x:f>
        <x:v>5</x:v>
      </x:c>
      <x:c r="D71" s="10" t="n">
        <x:v>3</x:v>
      </x:c>
      <x:c r="E71" s="12" t="n">
        <x:v>46275</x:v>
      </x:c>
      <x:c r="F71" s="12" t="n">
        <x:v>46288</x:v>
      </x:c>
      <x:c r="G71" s="10" t="str">
        <x:v>Conflicting names on ID</x:v>
      </x:c>
      <x:c r="H71" s="10" t="str">
        <x:v>McClellan / Dennis</x:v>
      </x:c>
      <x:c r="I71" s="10" t="str">
        <x:v>Jonathan Wagley</x:v>
      </x:c>
      <x:c r="J71" s="10"/>
      <x:c r="K71" s="10" t="str">
        <x:v>2026-09-10, 2026-09-19, 2026-09-23</x:v>
      </x:c>
      <x:c r="L71" s="10" t="str">
        <x:v>E003, E006, E007, E129, E159</x:v>
      </x:c>
    </x:row>
    <x:row r="72" ht="60" customHeight="1">
      <x:c r="A72" s="10" t="str">
        <x:v>McKay / Makai (unclear)</x:v>
      </x:c>
      <x:c r="B72" s="11" t="str">
        <x:v>14590105</x:v>
      </x:c>
      <x:c r="C72" s="10" t="n">
        <x:f>COUNTIFS(Exchanges!$B$8:$B$371,A72,Exchanges!$J$8:$J$371,B72)</x:f>
        <x:v>2</x:v>
      </x:c>
      <x:c r="D72" s="10" t="n">
        <x:v>1</x:v>
      </x:c>
      <x:c r="E72" s="12" t="n">
        <x:v>46277</x:v>
      </x:c>
      <x:c r="F72" s="12" t="n">
        <x:v>46277</x:v>
      </x:c>
      <x:c r="G72" s="10" t="str">
        <x:v>Name spelling unresolved</x:v>
      </x:c>
      <x:c r="H72" s="10"/>
      <x:c r="I72" s="10" t="str">
        <x:v>Unresolved</x:v>
      </x:c>
      <x:c r="J72" s="10" t="str">
        <x:v>McKay and Makai are different roster names. Do not merge these IDs with either person without audio review.</x:v>
      </x:c>
      <x:c r="K72" s="10" t="str">
        <x:v>2026-09-12</x:v>
      </x:c>
      <x:c r="L72" s="10" t="str">
        <x:v>E050, E062</x:v>
      </x:c>
    </x:row>
    <x:row r="73" ht="60" customHeight="1">
      <x:c r="A73" s="10" t="str">
        <x:v>Makai / Kelepi</x:v>
      </x:c>
      <x:c r="B73" s="11" t="str">
        <x:v>14590247</x:v>
      </x:c>
      <x:c r="C73" s="10" t="n">
        <x:f>COUNTIFS(Exchanges!$B$8:$B$371,A73,Exchanges!$J$8:$J$371,B73)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COUNTIFS(Exchanges!$B$8:$B$371,A74,Exchanges!$J$8:$J$371,B74)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COUNTIFS(Exchanges!$B$8:$B$371,A75,Exchanges!$J$8:$J$371,B75)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COUNTIFS(Exchanges!$B$8:$B$371,A76,Exchanges!$J$8:$J$371,B76)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COUNTIFS(Exchanges!$B$8:$B$371,A77,Exchanges!$J$8:$J$371,B77)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ht="34" customHeight="1">
      <x:c r="A78" s="10" t="str">
        <x:v>Tanner / T-Ball / G-Ball</x:v>
      </x:c>
      <x:c r="B78" s="11" t="str">
        <x:v>14580151</x:v>
      </x:c>
      <x:c r="C78" s="10" t="n">
        <x:f>COUNTIFS(Exchanges!$B$8:$B$371,A78,Exchanges!$J$8:$J$371,B78)</x:f>
        <x:v>10</x:v>
      </x:c>
      <x:c r="D78" s="10" t="n">
        <x:v>4</x:v>
      </x:c>
      <x:c r="E78" s="12" t="n">
        <x:v>46284</x:v>
      </x:c>
      <x:c r="F78" s="12" t="n">
        <x:v>46317</x:v>
      </x:c>
      <x:c r="G78" s="10" t="str">
        <x:v>Repeated across days</x:v>
      </x:c>
      <x:c r="H78" s="10" t="str"/>
      <x:c r="I78" s="10" t="str">
        <x:v>Tanner M. Ballamis</x:v>
      </x:c>
      <x:c r="J78" s="10" t="str">
        <x:v>Owner identifies Tanner, T-Ball and G-Ball as Tanner Ballamis. ID association, not permanent ownership.</x:v>
      </x:c>
      <x:c r="K78" s="10" t="str">
        <x:v>2026-09-19, 2026-10-03, 2026-10-21, 2026-10-22</x:v>
      </x:c>
      <x:c r="L78" s="10" t="str">
        <x:v>E349, E350, E353, E358, E359, E360, E361, E362, E363, E364</x:v>
      </x:c>
    </x:row>
    <x:row r="79">
      <x:c r="A79" s="10" t="str">
        <x:v>Peter (unclear)</x:v>
      </x:c>
      <x:c r="B79" s="11" t="str">
        <x:v>14590114</x:v>
      </x:c>
      <x:c r="C79" s="10" t="n">
        <x:f>COUNTIFS(Exchanges!$B$8:$B$371,A79,Exchanges!$J$8:$J$371,B79)</x:f>
        <x:v>1</x:v>
      </x:c>
      <x:c r="D79" s="10" t="n">
        <x:v>1</x:v>
      </x:c>
      <x:c r="E79" s="12" t="n">
        <x:v>46317</x:v>
      </x:c>
      <x:c r="F79" s="12" t="n">
        <x:v>46317</x:v>
      </x:c>
      <x:c r="G79" s="10" t="str">
        <x:v>Conflicting names on ID</x:v>
      </x:c>
      <x:c r="H79" s="10" t="str">
        <x:v>Pat (unclear), Pitt</x:v>
      </x:c>
      <x:c r="I79" s="10" t="str">
        <x:v>Unresolved</x:v>
      </x:c>
      <x:c r="J79" s="10" t="str">
        <x:v>Uncertain name or nickname. Kept separate from similar names pending audio review.</x:v>
      </x:c>
      <x:c r="K79" s="10" t="str">
        <x:v>2026-10-22</x:v>
      </x:c>
      <x:c r="L79" s="10" t="str">
        <x:v>E352</x:v>
      </x:c>
    </x:row>
    <x:row r="80">
      <x:c r="A80" s="10" t="str">
        <x:v>Pat (unclear)</x:v>
      </x:c>
      <x:c r="B80" s="11" t="str">
        <x:v>14590114</x:v>
      </x:c>
      <x:c r="C80" s="10" t="n">
        <x:f>COUNTIFS(Exchanges!$B$8:$B$371,A80,Exchanges!$J$8:$J$371,B80)</x:f>
        <x:v>1</x:v>
      </x:c>
      <x:c r="D80" s="10" t="n">
        <x:v>1</x:v>
      </x:c>
      <x:c r="E80" s="12" t="n">
        <x:v>46317</x:v>
      </x:c>
      <x:c r="F80" s="12" t="n">
        <x:v>46317</x:v>
      </x:c>
      <x:c r="G80" s="10" t="str">
        <x:v>Conflicting names on ID</x:v>
      </x:c>
      <x:c r="H80" s="10" t="str">
        <x:v>Peter (unclear), Pitt</x:v>
      </x:c>
      <x:c r="I80" s="10" t="str">
        <x:v>Unresolved</x:v>
      </x:c>
      <x:c r="J80" s="10" t="str">
        <x:v>Uncertain name or nickname. Kept separate from similar names pending audio review.</x:v>
      </x:c>
      <x:c r="K80" s="10" t="str">
        <x:v>2026-10-22</x:v>
      </x:c>
      <x:c r="L80" s="10" t="str">
        <x:v>E354</x:v>
      </x:c>
    </x:row>
    <x:row r="81">
      <x:c r="A81" s="10"/>
      <x:c r="B81" s="11"/>
      <x:c r="C81" s="10"/>
      <x:c r="D81" s="10"/>
      <x:c r="E81" s="12"/>
      <x:c r="F81" s="12"/>
      <x:c r="G81" s="10"/>
      <x:c r="H81" s="10"/>
      <x:c r="I81" s="10"/>
      <x:c r="J81" s="10"/>
      <x:c r="K81" s="10"/>
      <x:c r="L81" s="10"/>
    </x:row>
    <x:row r="82">
      <x:c r="A82" s="10"/>
      <x:c r="B82" s="11"/>
      <x:c r="C82" s="10"/>
      <x:c r="D82" s="10"/>
      <x:c r="E82" s="12"/>
      <x:c r="F82" s="12"/>
      <x:c r="G82" s="10"/>
      <x:c r="H82" s="10"/>
      <x:c r="I82" s="10"/>
      <x:c r="J82" s="10"/>
      <x:c r="K82" s="10"/>
      <x:c r="L82" s="10"/>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8054ef3d10874730"/>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retain transcript uncertainty. October 27 owner identification groups Tanner, T-Ball and G-Ball as Tanner Ballamis; the D-Ball reading is corrected to T-Ball.</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McKay / Makai (unclear)</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[Mackay?], you arrived? I'm parked on the northeast side of the complex.</x:v>
      </x:c>
      <x:c r="L57" s="13" t="str">
        <x:v>Negative, I'm leaving the PD right now.</x:v>
      </x:c>
      <x:c r="M57" s="13" t="str">
        <x:v>Name spelling unresolved</x:v>
      </x:c>
      <x:c r="N57" s="13" t="str">
        <x:v>McKay and Makai are different roster names. Do not merge these IDs with either person without audio review.</x:v>
      </x:c>
      <x:c r="O57" s="18" t="str">
        <x:v>Not reviewed</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McKay / Makai (unclear)</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[Mackay?], there was a phone under your car. [Is it yours?]</x:v>
      </x:c>
      <x:c r="L69" s="13" t="str">
        <x:v>A phone under my car?</x:v>
      </x:c>
      <x:c r="M69" s="13" t="str">
        <x:v>Name spelling unresolved</x:v>
      </x:c>
      <x:c r="N69" s="13" t="str">
        <x:v>McKay and Makai are different roster names. Do not merge these IDs with either person without audio review.</x:v>
      </x:c>
      <x:c r="O69" s="18" t="str">
        <x:v>Not reviewed</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Several officers use Sam or Samuel. Do not combine these IDs into one officer identity.</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Several officers use Sam or Samuel. Do not combine these IDs into one officer identity.</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Several officers use Sam or Samuel. Do not combine these IDs into one officer identity.</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Several officers use Sam or Samuel. Do not combine these IDs into one officer identity.</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Several officers use Sam or Samuel. Do not combine these IDs into one officer identity.</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Several officers use Sam or Samuel. Do not combine these IDs into one officer identity.</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Mostly 14590104 and 14590200; 14590103 has only one uncertain exchange. No roster identity assigned from the nickname alone.</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Several officers use Sam or Samuel. Do not combine these IDs into one officer identity.</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Several officers use Sam or Samuel. Do not combine these IDs into one officer identity.</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Several officers use Sam or Samuel. Do not combine these IDs into one officer identity.</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Tanner / T-Ball / G-Ball</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T-Ball, if you can hold the [1-4?] corner, that would be awesome.</x:v>
      </x:c>
      <x:c r="L356" s="13" t="str">
        <x:v>Sounds good.</x:v>
      </x:c>
      <x:c r="M356" s="13" t="str">
        <x:v>Owner-identified association</x:v>
      </x:c>
      <x:c r="N356" s="13" t="str">
        <x:v>Owner identifies Tanner, T-Ball and G-Ball as Tanner Ballamis. The former D-Ball reading is corrected to T-Ball. Other words remain unverified.</x:v>
      </x:c>
      <x:c r="O356" s="18" t="str">
        <x:v>Owner identification</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 T-Ball / G-Ball</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Owner-identified association</x:v>
      </x:c>
      <x:c r="N357" s="13" t="str">
        <x:v>Owner identifies Tanner, T-Ball and G-Ball as Tanner Ballamis. The former D-Ball reading is corrected to T-Ball. Other words remain unverified.</x:v>
      </x:c>
      <x:c r="O357" s="18" t="str">
        <x:v>Owner identification</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Tanner / T-Ball / G-Ball</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Owner-identified association</x:v>
      </x:c>
      <x:c r="N360" s="13" t="str">
        <x:v>Owner identifies Tanner, T-Ball and G-Ball as Tanner Ballamis. The former D-Ball reading is corrected to T-Ball. Other words remain unverified.</x:v>
      </x:c>
      <x:c r="O360" s="18" t="str">
        <x:v>Owner identification</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row r="365">
      <x:c r="A365" s="13" t="str">
        <x:v>E358</x:v>
      </x:c>
      <x:c r="B365" s="13" t="str">
        <x:v>Tanner / T-Ball / G-Ball</x:v>
      </x:c>
      <x:c r="C365" s="14" t="n">
        <x:v>46284</x:v>
      </x:c>
      <x:c r="D365" s="13" t="n">
        <x:v>12</x:v>
      </x:c>
      <x:c r="E365" s="15" t="n">
        <x:v>0.085625</x:v>
      </x:c>
      <x:c r="F365" s="16" t="str">
        <x:v>14590073</x:v>
      </x:c>
      <x:c r="G365" s="13" t="n">
        <x:v>13</x:v>
      </x:c>
      <x:c r="H365" s="15" t="n">
        <x:v>0.08570601851851851</x:v>
      </x:c>
      <x:c r="I365" s="17" t="n">
        <x:f>ROUND((H365-E365)*86400,0)</x:f>
        <x:v>7</x:v>
      </x:c>
      <x:c r="J365" s="16" t="str">
        <x:v>14580151</x:v>
      </x:c>
      <x:c r="K365" s="13" t="str">
        <x:v>[T-ball?], if you want to stop that truck, I can take this alarm.</x:v>
      </x:c>
      <x:c r="L365" s="13" t="str">
        <x:v>That would be great. Thank you.</x:v>
      </x:c>
      <x:c r="M365" s="13" t="str">
        <x:v>Named response association</x:v>
      </x:c>
      <x:c r="N365" s="13" t="str">
        <x:v>Owner identifies Tanner, T-Ball and G-Ball as Tanner Ballamis. Archive verification: question unverified, reply unverified. No independent audio review for this workbook update.</x:v>
      </x:c>
      <x:c r="O365" s="18" t="str">
        <x:v>Owner identification</x:v>
      </x:c>
      <x:c r="P365" s="19" t="str">
        <x:v>https://media.afpd-accountability.com/records/openmhz/openmhz-afpd-car-to-car-2026-09-19/dcfems-6001-1789804998.m4a</x:v>
      </x:c>
      <x:c r="Q365" s="19" t="str">
        <x:v>https://media.afpd-accountability.com/records/openmhz/openmhz-afpd-car-to-car-2026-09-19/dcfems-6001-1789805005.m4a</x:v>
      </x:c>
      <x:c r="R365" s="19" t="str">
        <x:v>https://afpd-accountability.com/police-radio/?date=2026-09-19</x:v>
      </x:c>
      <x:c r="S365" s="13" t="n">
        <x:v>7</x:v>
      </x:c>
    </x:row>
    <x:row r="366">
      <x:c r="A366" s="13" t="str">
        <x:v>E359</x:v>
      </x:c>
      <x:c r="B366" s="13" t="str">
        <x:v>Tanner / T-Ball / G-Ball</x:v>
      </x:c>
      <x:c r="C366" s="14" t="n">
        <x:v>46284</x:v>
      </x:c>
      <x:c r="D366" s="13" t="n">
        <x:v>73</x:v>
      </x:c>
      <x:c r="E366" s="15" t="n">
        <x:v>0.7708101851851852</x:v>
      </x:c>
      <x:c r="F366" s="16" t="str">
        <x:v>14590073</x:v>
      </x:c>
      <x:c r="G366" s="13" t="n">
        <x:v>74</x:v>
      </x:c>
      <x:c r="H366" s="15" t="n">
        <x:v>0.7709953703703704</x:v>
      </x:c>
      <x:c r="I366" s="17" t="n">
        <x:f>ROUND((H366-E366)*86400,0)</x:f>
        <x:v>16</x:v>
      </x:c>
      <x:c r="J366" s="16" t="str">
        <x:v>14580151</x:v>
      </x:c>
      <x:c r="K366" s="13" t="str">
        <x:v>Hey, [T-ball?], so it’s not a residence, it’s a commercial office, and I just got off the phone with RP. If it’s open, he wants us to clear it.</x:v>
      </x:c>
      <x:c r="L366" s="13" t="str">
        <x:v>Sounds good.</x:v>
      </x:c>
      <x:c r="M366" s="13" t="str">
        <x:v>Named response association</x:v>
      </x:c>
      <x:c r="N366" s="13" t="str">
        <x:v>Owner identifies Tanner, T-Ball and G-Ball as Tanner Ballamis. Archive verification: question unverified, reply unverified. No independent audio review for this workbook update.</x:v>
      </x:c>
      <x:c r="O366" s="18" t="str">
        <x:v>Owner identification</x:v>
      </x:c>
      <x:c r="P366" s="19" t="str">
        <x:v>https://media.afpd-accountability.com/records/openmhz/openmhz-afpd-car-to-car-2026-09-19/dcfems-6001-1789864198.m4a</x:v>
      </x:c>
      <x:c r="Q366" s="19" t="str">
        <x:v>https://media.afpd-accountability.com/records/openmhz/openmhz-afpd-car-to-car-2026-09-19/dcfems-6001-1789864214.m4a</x:v>
      </x:c>
      <x:c r="R366" s="19" t="str">
        <x:v>https://afpd-accountability.com/police-radio/?date=2026-09-19</x:v>
      </x:c>
      <x:c r="S366" s="13" t="n">
        <x:v>16</x:v>
      </x:c>
    </x:row>
    <x:row r="367">
      <x:c r="A367" s="13" t="str">
        <x:v>E360</x:v>
      </x:c>
      <x:c r="B367" s="13" t="str">
        <x:v>Tanner / T-Ball / G-Ball</x:v>
      </x:c>
      <x:c r="C367" s="14" t="n">
        <x:v>46284</x:v>
      </x:c>
      <x:c r="D367" s="13" t="n">
        <x:v>101</x:v>
      </x:c>
      <x:c r="E367" s="15" t="n">
        <x:v>0.8257291666666666</x:v>
      </x:c>
      <x:c r="F367" s="16" t="str">
        <x:v>14590073</x:v>
      </x:c>
      <x:c r="G367" s="13" t="n">
        <x:v>102</x:v>
      </x:c>
      <x:c r="H367" s="15" t="n">
        <x:v>0.8258449074074075</x:v>
      </x:c>
      <x:c r="I367" s="17" t="n">
        <x:f>ROUND((H367-E367)*86400,0)</x:f>
        <x:v>10</x:v>
      </x:c>
      <x:c r="J367" s="16" t="str">
        <x:v>14580151</x:v>
      </x:c>
      <x:c r="K367" s="13" t="str">
        <x:v>[T-ball?], [what’s?] your 20?</x:v>
      </x:c>
      <x:c r="L367" s="13" t="str">
        <x:v>[100 East and Main?]</x:v>
      </x:c>
      <x:c r="M367" s="13" t="str">
        <x:v>Named response association</x:v>
      </x:c>
      <x:c r="N367" s="13" t="str">
        <x:v>Owner identifies Tanner, T-Ball and G-Ball as Tanner Ballamis. Archive verification: question unverified, reply unverified. No independent audio review for this workbook update.</x:v>
      </x:c>
      <x:c r="O367" s="18" t="str">
        <x:v>Owner identification</x:v>
      </x:c>
      <x:c r="P367" s="19" t="str">
        <x:v>https://media.afpd-accountability.com/records/openmhz/openmhz-afpd-car-to-car-2026-09-19/dcfems-6001-1789868943.m4a</x:v>
      </x:c>
      <x:c r="Q367" s="19" t="str">
        <x:v>https://media.afpd-accountability.com/records/openmhz/openmhz-afpd-car-to-car-2026-09-19/dcfems-6001-1789868953.m4a</x:v>
      </x:c>
      <x:c r="R367" s="19" t="str">
        <x:v>https://afpd-accountability.com/police-radio/?date=2026-09-19</x:v>
      </x:c>
      <x:c r="S367" s="13" t="n">
        <x:v>10</x:v>
      </x:c>
    </x:row>
    <x:row r="368">
      <x:c r="A368" s="13" t="str">
        <x:v>E361</x:v>
      </x:c>
      <x:c r="B368" s="13" t="str">
        <x:v>Tanner / T-Ball / G-Ball</x:v>
      </x:c>
      <x:c r="C368" s="14" t="n">
        <x:v>46284</x:v>
      </x:c>
      <x:c r="D368" s="13" t="n">
        <x:v>116</x:v>
      </x:c>
      <x:c r="E368" s="15" t="n">
        <x:v>0.8812152777777778</x:v>
      </x:c>
      <x:c r="F368" s="16" t="str">
        <x:v>14590114</x:v>
      </x:c>
      <x:c r="G368" s="13" t="n">
        <x:v>117</x:v>
      </x:c>
      <x:c r="H368" s="15" t="n">
        <x:v>0.8812847222222222</x:v>
      </x:c>
      <x:c r="I368" s="17" t="n">
        <x:f>ROUND((H368-E368)*86400,0)</x:f>
        <x:v>6</x:v>
      </x:c>
      <x:c r="J368" s="16" t="str">
        <x:v>14580151</x:v>
      </x:c>
      <x:c r="K368" s="13" t="str">
        <x:v>Hey [T-ball?], what’s going on?</x:v>
      </x:c>
      <x:c r="L368" s="13" t="str">
        <x:v>[I’m/we’re?] turning onto Center Street now.</x:v>
      </x:c>
      <x:c r="M368" s="13" t="str">
        <x:v>Named response association</x:v>
      </x:c>
      <x:c r="N368" s="13" t="str">
        <x:v>Owner identifies Tanner, T-Ball and G-Ball as Tanner Ballamis. Archive verification: question unverified, reply unverified. No independent audio review for this workbook update.</x:v>
      </x:c>
      <x:c r="O368" s="18" t="str">
        <x:v>Owner identification</x:v>
      </x:c>
      <x:c r="P368" s="19" t="str">
        <x:v>https://media.afpd-accountability.com/records/openmhz/openmhz-afpd-car-to-car-2026-09-19/dcfems-6001-1789873737.m4a</x:v>
      </x:c>
      <x:c r="Q368" s="19" t="str">
        <x:v>https://media.afpd-accountability.com/records/openmhz/openmhz-afpd-car-to-car-2026-09-19/dcfems-6001-1789873743.m4a</x:v>
      </x:c>
      <x:c r="R368" s="19" t="str">
        <x:v>https://afpd-accountability.com/police-radio/?date=2026-09-19</x:v>
      </x:c>
      <x:c r="S368" s="13" t="n">
        <x:v>6</x:v>
      </x:c>
    </x:row>
    <x:row r="369">
      <x:c r="A369" s="13" t="str">
        <x:v>E362</x:v>
      </x:c>
      <x:c r="B369" s="13" t="str">
        <x:v>Tanner / T-Ball / G-Ball</x:v>
      </x:c>
      <x:c r="C369" s="14" t="n">
        <x:v>46298</x:v>
      </x:c>
      <x:c r="D369" s="13" t="n">
        <x:v>25</x:v>
      </x:c>
      <x:c r="E369" s="15" t="n">
        <x:v>0.0425462962962963</x:v>
      </x:c>
      <x:c r="F369" s="16" t="str">
        <x:v>14590114</x:v>
      </x:c>
      <x:c r="G369" s="13" t="n">
        <x:v>26</x:v>
      </x:c>
      <x:c r="H369" s="15" t="n">
        <x:v>0.042638888888888886</x:v>
      </x:c>
      <x:c r="I369" s="17" t="n">
        <x:f>ROUND((H369-E369)*86400,0)</x:f>
        <x:v>8</x:v>
      </x:c>
      <x:c r="J369" s="16" t="str">
        <x:v>14580151</x:v>
      </x:c>
      <x:c r="K369" s="13" t="str">
        <x:v>Get [him / them], T-ball.</x:v>
      </x:c>
      <x:c r="L369" s="13" t="str">
        <x:v>On it.</x:v>
      </x:c>
      <x:c r="M369" s="13" t="str">
        <x:v>Named response association</x:v>
      </x:c>
      <x:c r="N369" s="13" t="str">
        <x:v>Owner identifies Tanner, T-Ball and G-Ball as Tanner Ballamis. Archive verification: question unverified, reply unverified. No independent audio review for this workbook update.</x:v>
      </x:c>
      <x:c r="O369" s="18" t="str">
        <x:v>Owner identification</x:v>
      </x:c>
      <x:c r="P369" s="19" t="str">
        <x:v>https://media.afpd-accountability.com/records/openmhz/openmhz-afpd-car-to-car-2026-10-03/dcfems-6001-1791010876.m4a</x:v>
      </x:c>
      <x:c r="Q369" s="19" t="str">
        <x:v>https://media.afpd-accountability.com/records/openmhz/openmhz-afpd-car-to-car-2026-10-03/dcfems-6001-1791010884.m4a</x:v>
      </x:c>
      <x:c r="R369" s="19" t="str">
        <x:v>https://afpd-accountability.com/police-radio/?date=2026-10-03</x:v>
      </x:c>
      <x:c r="S369" s="13" t="n">
        <x:v>8</x:v>
      </x:c>
    </x:row>
    <x:row r="370">
      <x:c r="A370" s="13" t="str">
        <x:v>E363</x:v>
      </x:c>
      <x:c r="B370" s="13" t="str">
        <x:v>Tanner / T-Ball / G-Ball</x:v>
      </x:c>
      <x:c r="C370" s="14" t="n">
        <x:v>46316</x:v>
      </x:c>
      <x:c r="D370" s="13" t="n">
        <x:v>91</x:v>
      </x:c>
      <x:c r="E370" s="15" t="n">
        <x:v>0.7766898148148148</x:v>
      </x:c>
      <x:c r="F370" s="16" t="str">
        <x:v>14590073</x:v>
      </x:c>
      <x:c r="G370" s="13" t="n">
        <x:v>92</x:v>
      </x:c>
      <x:c r="H370" s="15" t="n">
        <x:v>0.7770717592592593</x:v>
      </x:c>
      <x:c r="I370" s="17" t="n">
        <x:f>ROUND((H370-E370)*86400,0)</x:f>
        <x:v>33</x:v>
      </x:c>
      <x:c r="J370" s="16" t="str">
        <x:v>14580151</x:v>
      </x:c>
      <x:c r="K370" s="13" t="str">
        <x:v>T-ball, will you confirm Lizzie's name, spelling, everything?</x:v>
      </x:c>
      <x:c r="L370" s="13" t="str">
        <x:v>Her real name is Elizabeth.</x:v>
      </x:c>
      <x:c r="M370" s="13" t="str">
        <x:v>Named response association</x:v>
      </x:c>
      <x:c r="N370" s="13" t="str">
        <x:v>Owner identifies Tanner, T-Ball and G-Ball as Tanner Ballamis. Archive verification: question verified, reply verified. No independent audio review for this workbook update.</x:v>
      </x:c>
      <x:c r="O370" s="18" t="str">
        <x:v>Owner identification</x:v>
      </x:c>
      <x:c r="P370" s="19" t="str">
        <x:v>https://media.afpd-accountability.com/records/openmhz/openmhz-afpd-car-to-car-2026-10-21/dcfems-6001-1792629506.m4a</x:v>
      </x:c>
      <x:c r="Q370" s="19" t="str">
        <x:v>https://media.afpd-accountability.com/records/openmhz/openmhz-afpd-car-to-car-2026-10-21/dcfems-6001-1792629539.m4a</x:v>
      </x:c>
      <x:c r="R370" s="19" t="str">
        <x:v>https://afpd-accountability.com/police-radio/?date=2026-10-21</x:v>
      </x:c>
      <x:c r="S370" s="13" t="n">
        <x:v>33</x:v>
      </x:c>
    </x:row>
    <x:row r="371">
      <x:c r="A371" s="13" t="str">
        <x:v>E364</x:v>
      </x:c>
      <x:c r="B371" s="13" t="str">
        <x:v>Tanner / T-Ball / G-Ball</x:v>
      </x:c>
      <x:c r="C371" s="14" t="n">
        <x:v>46316</x:v>
      </x:c>
      <x:c r="D371" s="13" t="n">
        <x:v>96</x:v>
      </x:c>
      <x:c r="E371" s="15" t="n">
        <x:v>0.7788541666666666</x:v>
      </x:c>
      <x:c r="F371" s="16" t="str">
        <x:v>14590073</x:v>
      </x:c>
      <x:c r="G371" s="13" t="n">
        <x:v>97</x:v>
      </x:c>
      <x:c r="H371" s="15" t="n">
        <x:v>0.7797337962962962</x:v>
      </x:c>
      <x:c r="I371" s="17" t="n">
        <x:f>ROUND((H371-E371)*86400,0)</x:f>
        <x:v>76</x:v>
      </x:c>
      <x:c r="J371" s="16" t="str">
        <x:v>14580151</x:v>
      </x:c>
      <x:c r="K371" s="13" t="str">
        <x:v>Okay Tanner, just one more. Will you confirm Britain's info?</x:v>
      </x:c>
      <x:c r="L371" s="13" t="str">
        <x:v>So last name is R-E-A-D. I heard him wrong.[unclear]. That's my bad.</x:v>
      </x:c>
      <x:c r="M371" s="13" t="str">
        <x:v>Named response association</x:v>
      </x:c>
      <x:c r="N371" s="13" t="str">
        <x:v>Owner identifies Tanner, T-Ball and G-Ball as Tanner Ballamis. Archive verification: question verified, reply verified. No independent audio review for this workbook update.</x:v>
      </x:c>
      <x:c r="O371" s="18" t="str">
        <x:v>Owner identification</x:v>
      </x:c>
      <x:c r="P371" s="19" t="str">
        <x:v>https://media.afpd-accountability.com/records/openmhz/openmhz-afpd-car-to-car-2026-10-21/dcfems-6001-1792629693.m4a</x:v>
      </x:c>
      <x:c r="Q371" s="19" t="str">
        <x:v>https://media.afpd-accountability.com/records/openmhz/openmhz-afpd-car-to-car-2026-10-21/dcfems-6001-1792629769.m4a</x:v>
      </x:c>
      <x:c r="R371" s="19" t="str">
        <x:v>https://afpd-accountability.com/police-radio/?date=2026-10-21</x:v>
      </x:c>
      <x:c r="S371" s="13" t="n">
        <x:v>76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2ebdc3f77aef4a7f"/>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42ffc89996584d8a"/>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October 27 owner identification groups Tanner, T-Ball and G-Ball as Tanner Ballamis. Seven earlier response pairs added; 10 pairs across four days use 14580151.</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34f368bfdbdc4ec8"/>
  </x:tableParts>
</x:worksheet>
</file>