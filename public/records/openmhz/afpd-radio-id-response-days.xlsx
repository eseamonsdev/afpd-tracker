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407264763434e2f" /></Relationships>
</file>

<file path=xl/workbook.xml><?xml version="1.0" encoding="utf-8"?>
<x:workbook xmlns:x="http://schemas.openxmlformats.org/spreadsheetml/2006/main">
  <x:sheets>
    <x:sheet xmlns:r="http://schemas.openxmlformats.org/officeDocument/2006/relationships" name="Findings" sheetId="1" r:id="R036cb515380e4b2c"/>
    <x:sheet xmlns:r="http://schemas.openxmlformats.org/officeDocument/2006/relationships" name="Exchanges" sheetId="2" r:id="Rd57dbd6f9a6e4054"/>
    <x:sheet xmlns:r="http://schemas.openxmlformats.org/officeDocument/2006/relationships" name="Exceptions" sheetId="3" r:id="R65c3d451b0be4487"/>
    <x:sheet xmlns:r="http://schemas.openxmlformats.org/officeDocument/2006/relationships" name="Coverage" sheetId="4" r:id="R26c757c5a292489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mm/dd/yy"/>
    <x:numFmt numFmtId="202" formatCode="h:mm:ss AM/PM"/>
    <x:numFmt numFmtId="203" formatCode="0"/>
  </x:numFmts>
  <x:fonts count="7">
    <x:font>
      <x:sz val="11"/>
      <x:name val="Carlito"/>
    </x:font>
    <x:font>
      <x:sz val="10"/>
      <x:color rgb="FF223046"/>
      <x:name val="Arial"/>
    </x:font>
    <x:font>
      <x:b/>
      <x:sz val="15"/>
      <x:color rgb="FF17365D"/>
      <x:name val="Arial"/>
    </x:font>
    <x:font>
      <x:i/>
      <x:sz val="10"/>
      <x:color rgb="FF5B6778"/>
      <x:name val="Arial"/>
    </x:font>
    <x:font>
      <x:b/>
      <x:sz val="10"/>
      <x:color rgb="FFFFFFFF"/>
      <x:name val="Arial"/>
    </x:font>
    <x:font>
      <x:sz val="10"/>
      <x:color rgb="FF1662A8"/>
      <x:name val="Arial"/>
    </x:font>
    <x:font>
      <x:b/>
      <x:sz val="10"/>
      <x:color rgb="FF223046"/>
      <x:name val="Arial"/>
    </x:font>
  </x:fonts>
  <x:fills count="4">
    <x:fill>
      <x:patternFill patternType="none"/>
    </x:fill>
    <x:fill>
      <x:patternFill patternType="gray125"/>
    </x:fill>
    <x:fill>
      <x:patternFill patternType="solid">
        <x:fgColor rgb="FF17365D"/>
      </x:patternFill>
    </x:fill>
    <x:fill>
      <x:patternFill patternType="solid">
        <x:fgColor rgb="FFFFF7DD"/>
      </x:patternFill>
    </x:fill>
  </x:fills>
  <x:borders count="2">
    <x:border>
      <x:left/>
      <x:right/>
      <x:top/>
      <x:bottom/>
      <x:diagonal/>
    </x:border>
    <x:border>
      <x:left/>
      <x:right/>
      <x:top/>
      <x:bottom style="thin">
        <x:color rgb="FFB8C5D6"/>
      </x:bottom>
      <x:diagonal/>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201" fontId="1" fillId="0" borderId="0" xfId="0" applyNumberFormat="1" applyFont="1" applyFill="1" applyBorder="1" applyAlignment="1">
      <x:alignment vertical="center"/>
    </x:xf>
    <x:xf numFmtId="0" fontId="6" fillId="0" borderId="0" xfId="0" applyNumberFormat="1" applyFont="1" applyFill="1" applyBorder="1" applyAlignment="1">
      <x:alignment vertical="center"/>
    </x:xf>
  </x:cellXfs>
  <x:cellStyles count="1">
    <x:cellStyle name="Normal" xfId="0"/>
  </x:cellStyles>
  <x:dxfs count="2">
    <x:dxf>
      <x:font>
        <x:color rgb="FF805400"/>
      </x:font>
      <x:fill>
        <x:patternFill>
          <x:bgColor rgb="FFFFF0CF"/>
        </x:patternFill>
      </x:fill>
    </x:dxf>
    <x:dxf>
      <x:font>
        <x:color rgb="FF805400"/>
      </x:font>
      <x:fill>
        <x:patternFill>
          <x:bgColor rgb="FFFFF0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8ac17e2f6d64e19" /><Relationship Type="http://schemas.openxmlformats.org/officeDocument/2006/relationships/theme" Target="/xl/theme/theme1.xml" Id="R75cfaa994f4d4af1" /><Relationship Type="http://schemas.openxmlformats.org/officeDocument/2006/relationships/sharedStrings" Target="/xl/sharedStrings.xml" Id="R13774492865a4049" /><Relationship Type="http://schemas.openxmlformats.org/officeDocument/2006/relationships/worksheet" Target="/xl/worksheets/sheet1.xml" Id="R036cb515380e4b2c" /><Relationship Type="http://schemas.openxmlformats.org/officeDocument/2006/relationships/worksheet" Target="/xl/worksheets/sheet2.xml" Id="Rd57dbd6f9a6e4054" /><Relationship Type="http://schemas.openxmlformats.org/officeDocument/2006/relationships/worksheet" Target="/xl/worksheets/sheet3.xml" Id="R65c3d451b0be4487" /><Relationship Type="http://schemas.openxmlformats.org/officeDocument/2006/relationships/worksheet" Target="/xl/worksheets/sheet4.xml" Id="R26c757c5a2924894" /></Relationships>
</file>

<file path=xl/tables/table1.xml><?xml version="1.0" encoding="utf-8"?>
<x:table xmlns:x="http://schemas.openxmlformats.org/spreadsheetml/2006/main" id="5" name="RadioFindings" displayName="RadioFindings" ref="A9:L80" headerRowCount="1" totalsRowCount="0" totalsRowShown="0">
  <x:tableColumns count="12">
    <x:tableColumn id="1" name="Name in exchange"/>
    <x:tableColumn id="2" name="Responding radio ID"/>
    <x:tableColumn id="3" name="Examples"/>
    <x:tableColumn id="4" name="Days with named responses"/>
    <x:tableColumn id="5" name="First example"/>
    <x:tableColumn id="6" name="Latest example"/>
    <x:tableColumn id="7" name="Evidence pattern"/>
    <x:tableColumn id="8" name="Other names on ID"/>
    <x:tableColumn id="9" name="Roster candidate (inferred)"/>
    <x:tableColumn id="10" name="Notes"/>
    <x:tableColumn id="11" name="Example dates"/>
    <x:tableColumn id="12" name="Evidence IDs"/>
  </x:tableColumns>
  <x:tableStyleInfo name="TableStyleMedium2" showFirstColumn="0" showLastColumn="0" showRowStripes="1" showColumnStripes="0"/>
</x:table>
</file>

<file path=xl/tables/table2.xml><?xml version="1.0" encoding="utf-8"?>
<x:table xmlns:x="http://schemas.openxmlformats.org/spreadsheetml/2006/main" id="2" name="ResponseExchanges" displayName="ResponseExchanges" ref="A7:S371" headerRowCount="1" totalsRowCount="0" totalsRowShown="0">
  <x:autoFilter ref="A7:S371"/>
  <x:tableColumns count="19">
    <x:tableColumn id="1" name="Evidence ID"/>
    <x:tableColumn id="2" name="Name in exchange"/>
    <x:tableColumn id="3" name="Date"/>
    <x:tableColumn id="4" name="Question clip"/>
    <x:tableColumn id="5" name="Question time (MT)"/>
    <x:tableColumn id="6" name="Question radio ID(s)"/>
    <x:tableColumn id="7" name="Reply clip"/>
    <x:tableColumn id="8" name="Reply time (MT)"/>
    <x:tableColumn id="9" name="Gap (sec)"/>
    <x:tableColumn id="10" name="Reply radio ID"/>
    <x:tableColumn id="11" name="Question / comment transcript"/>
    <x:tableColumn id="12" name="Reply transcript"/>
    <x:tableColumn id="13" name="Assessment"/>
    <x:tableColumn id="14" name="Review note"/>
    <x:tableColumn id="15" name="Audio reviewed"/>
    <x:tableColumn id="16" name="Question audio"/>
    <x:tableColumn id="17" name="Reply audio"/>
    <x:tableColumn id="18" name="Archive day"/>
    <x:tableColumn id="19" name="Source gap (sec)"/>
  </x:tableColumns>
  <x:tableStyleInfo name="TableStyleMedium2" showFirstColumn="0" showLastColumn="0" showRowStripes="1" showColumnStripes="0"/>
</x:table>
</file>

<file path=xl/tables/table3.xml><?xml version="1.0" encoding="utf-8"?>
<x:table xmlns:x="http://schemas.openxmlformats.org/spreadsheetml/2006/main" id="3" name="ExcludedExchanges" displayName="ExcludedExchanges" ref="A7:F27" headerRowCount="1" totalsRowCount="0" totalsRowShown="0">
  <x:autoFilter ref="A7:F27"/>
  <x:tableColumns count="6">
    <x:tableColumn id="1" name="Date"/>
    <x:tableColumn id="2" name="Clip"/>
    <x:tableColumn id="3" name="Address / comment"/>
    <x:tableColumn id="4" name="Following transmission(s)"/>
    <x:tableColumn id="5" name="Reason excluded"/>
    <x:tableColumn id="6" name="Audio"/>
  </x:tableColumns>
  <x:tableStyleInfo name="TableStyleMedium2" showFirstColumn="0" showLastColumn="0" showRowStripes="1" showColumnStripes="0"/>
</x:table>
</file>

<file path=xl/tables/table4.xml><?xml version="1.0" encoding="utf-8"?>
<x:table xmlns:x="http://schemas.openxmlformats.org/spreadsheetml/2006/main" id="4" name="ArchiveCoverage" displayName="ArchiveCoverage" ref="A10:F54" headerRowCount="1" totalsRowCount="0" totalsRowShown="0">
  <x:autoFilter ref="A10:F54"/>
  <x:tableColumns count="6">
    <x:tableColumn id="1" name="Date"/>
    <x:tableColumn id="2" name="Call entries"/>
    <x:tableColumn id="3" name="Nonempty transcripts"/>
    <x:tableColumn id="4" name="Calls with valid IDs"/>
    <x:tableColumn id="5" name="Coverage note"/>
    <x:tableColumn id="6" name="Source manifes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19bb1e2055f4e50" /></Relationships>
</file>

<file path=xl/worksheets/_rels/sheet2.xml.rels>&#65279;<?xml version="1.0" encoding="utf-8"?><Relationships xmlns="http://schemas.openxmlformats.org/package/2006/relationships"><Relationship Type="http://schemas.openxmlformats.org/officeDocument/2006/relationships/table" Target="/xl/tables/table2.xml" Id="Rf72f5adf98714fe9" /></Relationships>
</file>

<file path=xl/worksheets/_rels/sheet3.xml.rels>&#65279;<?xml version="1.0" encoding="utf-8"?><Relationships xmlns="http://schemas.openxmlformats.org/package/2006/relationships"><Relationship Type="http://schemas.openxmlformats.org/officeDocument/2006/relationships/table" Target="/xl/tables/table3.xml" Id="R418651804c124fb1" /></Relationships>
</file>

<file path=xl/worksheets/_rels/sheet4.xml.rels>&#65279;<?xml version="1.0" encoding="utf-8"?><Relationships xmlns="http://schemas.openxmlformats.org/package/2006/relationships"><Relationship Type="http://schemas.openxmlformats.org/officeDocument/2006/relationships/table" Target="/xl/tables/table4.xml" Id="R14bc226f72d04874" /></Relationships>
</file>

<file path=xl/worksheets/sheet1.xml><?xml version="1.0" encoding="utf-8"?>
<x:worksheet xmlns:x="http://schemas.openxmlformats.org/spreadsheetml/2006/main">
  <x:sheetPr>
    <x:tabColor rgb="FF17365D"/>
  </x:sheetPr>
  <x:sheetViews>
    <x:sheetView showGridLines="0" workbookViewId="0">
      <x:pane xSplit="2" ySplit="9" topLeftCell="C10" activePane="bottomRight" state="frozen"/>
    </x:sheetView>
  </x:sheetViews>
  <x:sheetFormatPr defaultRowHeight="15"/>
  <x:cols>
    <x:col min="1" max="1" width="20" hidden="0" customWidth="1"/>
    <x:col min="2" max="2" width="13.890000343322754" hidden="0" customWidth="1"/>
    <x:col min="3" max="3" width="9.4399995803833" hidden="0" customWidth="1"/>
    <x:col min="4" max="4" width="13.890000343322754" hidden="0" customWidth="1"/>
    <x:col min="5" max="5" width="11.670000076293945" hidden="0" customWidth="1"/>
    <x:col min="6" max="6" width="11.670000076293945" hidden="0" customWidth="1"/>
    <x:col min="7" max="7" width="21.110000610351562" hidden="0" customWidth="1"/>
    <x:col min="8" max="8" width="22.219999313354492" hidden="0" customWidth="1"/>
    <x:col min="9" max="9" width="23.329999923706055" hidden="0" customWidth="1"/>
    <x:col min="10" max="10" width="48.88999938964844" hidden="0" customWidth="1"/>
    <x:col min="11" max="11" width="58.88999938964844" hidden="0" customWidth="1"/>
    <x:col min="12" max="12" width="55.560001373291016" hidden="0" customWidth="1"/>
  </x:cols>
  <x:sheetData>
    <x:row r="1">
      <x:c r="A1" s="2"/>
      <x:c r="B1" s="2"/>
      <x:c r="C1" s="2"/>
      <x:c r="D1" s="2"/>
      <x:c r="E1" s="2"/>
      <x:c r="F1" s="2"/>
      <x:c r="G1" s="2"/>
      <x:c r="H1" s="2"/>
      <x:c r="I1" s="2"/>
      <x:c r="J1" s="2"/>
      <x:c r="K1" s="2"/>
      <x:c r="L1" s="2"/>
    </x:row>
    <x:row r="2">
      <x:c r="A2" s="3" t="str">
        <x:v>AFPD radio IDs and named response days</x:v>
      </x:c>
      <x:c r="B2" s="2"/>
      <x:c r="C2" s="2"/>
      <x:c r="D2" s="2"/>
      <x:c r="E2" s="2"/>
      <x:c r="F2" s="2"/>
      <x:c r="G2" s="2"/>
      <x:c r="H2" s="2"/>
      <x:c r="I2" s="2"/>
      <x:c r="J2" s="2"/>
      <x:c r="K2" s="2"/>
      <x:c r="L2" s="2"/>
    </x:row>
    <x:row r="3">
      <x:c r="A3" s="4"/>
      <x:c r="B3" s="4"/>
      <x:c r="C3" s="4"/>
      <x:c r="D3" s="4"/>
      <x:c r="E3" s="4"/>
      <x:c r="F3" s="4"/>
      <x:c r="G3" s="4"/>
      <x:c r="H3" s="4"/>
      <x:c r="I3" s="4"/>
      <x:c r="J3" s="4"/>
      <x:c r="K3" s="4"/>
      <x:c r="L3" s="4"/>
    </x:row>
    <x:row r="4">
      <x:c r="A4" s="5" t="str">
        <x:v>September 9–October 22, 2026. Transcript associations only; audio has not been reviewed for this collation.</x:v>
      </x:c>
      <x:c r="B4" s="2"/>
      <x:c r="C4" s="2"/>
      <x:c r="D4" s="2"/>
      <x:c r="E4" s="2"/>
      <x:c r="F4" s="2"/>
      <x:c r="G4" s="2"/>
      <x:c r="H4" s="2"/>
      <x:c r="I4" s="2"/>
      <x:c r="J4" s="2"/>
      <x:c r="K4" s="2"/>
      <x:c r="L4" s="2"/>
    </x:row>
    <x:row r="5">
      <x:c r="A5" s="2" t="str">
        <x:v>Response days = distinct dates with a named response example for that name and radio ID among the 364 selected exchanges.</x:v>
      </x:c>
      <x:c r="B5" s="2"/>
      <x:c r="C5" s="2"/>
      <x:c r="D5" s="2"/>
      <x:c r="E5" s="2"/>
      <x:c r="F5" s="2"/>
      <x:c r="G5" s="2"/>
      <x:c r="H5" s="2"/>
      <x:c r="I5" s="2"/>
      <x:c r="J5" s="2"/>
      <x:c r="K5" s="2"/>
      <x:c r="L5" s="2"/>
    </x:row>
    <x:row r="6">
      <x:c r="A6" s="2" t="str">
        <x:v>A named officer may be answered by a partner. Multiple IDs can occur in one clip. Repeated replies do not prove permanent radio ownership.</x:v>
      </x:c>
      <x:c r="B6" s="2"/>
      <x:c r="C6" s="2"/>
      <x:c r="D6" s="2"/>
      <x:c r="E6" s="2"/>
      <x:c r="F6" s="2"/>
      <x:c r="G6" s="2"/>
      <x:c r="H6" s="2"/>
      <x:c r="I6" s="2"/>
      <x:c r="J6" s="2"/>
      <x:c r="K6" s="2"/>
      <x:c r="L6" s="2"/>
    </x:row>
    <x:row r="7">
      <x:c r="A7" s="2" t="str">
        <x:v>Roster candidates are inferences from the site roster unless owner identification is noted. Tanner Ballamis groups Tanner, T-Ball and G-Ball.</x:v>
      </x:c>
      <x:c r="B7" s="2"/>
      <x:c r="C7" s="2"/>
      <x:c r="D7" s="2"/>
      <x:c r="E7" s="2"/>
      <x:c r="F7" s="2"/>
      <x:c r="G7" s="2"/>
      <x:c r="H7" s="2"/>
      <x:c r="I7" s="2"/>
      <x:c r="J7" s="2"/>
      <x:c r="K7" s="2"/>
      <x:c r="L7" s="2"/>
    </x:row>
    <x:row r="8">
      <x:c r="A8" s="2"/>
      <x:c r="B8" s="2"/>
      <x:c r="C8" s="2"/>
      <x:c r="D8" s="2"/>
      <x:c r="E8" s="2"/>
      <x:c r="F8" s="2"/>
      <x:c r="G8" s="2"/>
      <x:c r="H8" s="2"/>
      <x:c r="I8" s="2"/>
      <x:c r="J8" s="2"/>
      <x:c r="K8" s="2"/>
      <x:c r="L8" s="2"/>
    </x:row>
    <x:row r="9" ht="42" customHeight="1">
      <x:c r="A9" s="9" t="str">
        <x:v>Name in exchange</x:v>
      </x:c>
      <x:c r="B9" s="9" t="str">
        <x:v>Responding radio ID</x:v>
      </x:c>
      <x:c r="C9" s="9" t="str">
        <x:v>Examples</x:v>
      </x:c>
      <x:c r="D9" s="9" t="str">
        <x:v>Days with named responses</x:v>
      </x:c>
      <x:c r="E9" s="9" t="str">
        <x:v>First example</x:v>
      </x:c>
      <x:c r="F9" s="9" t="str">
        <x:v>Latest example</x:v>
      </x:c>
      <x:c r="G9" s="9" t="str">
        <x:v>Evidence pattern</x:v>
      </x:c>
      <x:c r="H9" s="9" t="str">
        <x:v>Other names on ID</x:v>
      </x:c>
      <x:c r="I9" s="9" t="str">
        <x:v>Roster candidate (inferred)</x:v>
      </x:c>
      <x:c r="J9" s="9" t="str">
        <x:v>Notes</x:v>
      </x:c>
      <x:c r="K9" s="9" t="str">
        <x:v>Example dates</x:v>
      </x:c>
      <x:c r="L9" s="9" t="str">
        <x:v>Evidence IDs</x:v>
      </x:c>
    </x:row>
    <x:row r="10" ht="60" customHeight="1">
      <x:c r="A10" s="10" t="str">
        <x:v>Cox</x:v>
      </x:c>
      <x:c r="B10" s="11" t="str">
        <x:v>14580155</x:v>
      </x:c>
      <x:c r="C10" s="10" t="n">
        <x:f>COUNTIFS(Exchanges!$B$8:$B$371,A10,Exchanges!$J$8:$J$371,B10)</x:f>
        <x:v>8</x:v>
      </x:c>
      <x:c r="D10" s="10" t="n">
        <x:v>6</x:v>
      </x:c>
      <x:c r="E10" s="12" t="n">
        <x:v>46276</x:v>
      </x:c>
      <x:c r="F10" s="12" t="n">
        <x:v>46309</x:v>
      </x:c>
      <x:c r="G10" s="10" t="str">
        <x:v>Repeated across days</x:v>
      </x:c>
      <x:c r="H10" s="10"/>
      <x:c r="I10" s="10" t="str">
        <x:v>Brennan Cox</x:v>
      </x:c>
      <x:c r="J10" s="10"/>
      <x:c r="K10" s="10" t="str">
        <x:v>2026-09-11, 2026-09-12, 2026-09-22, 2026-10-10, 2026-10-11, 2026-10-14</x:v>
      </x:c>
      <x:c r="L10" s="10" t="str">
        <x:v>E028, E069, E151, E152, E273, E274, E283, E305</x:v>
      </x:c>
    </x:row>
    <x:row r="11" ht="60" customHeight="1">
      <x:c r="A11" s="10" t="str">
        <x:v>Cox</x:v>
      </x:c>
      <x:c r="B11" s="11" t="str">
        <x:v>14590020</x:v>
      </x:c>
      <x:c r="C11" s="10" t="n">
        <x:f>COUNTIFS(Exchanges!$B$8:$B$371,A11,Exchanges!$J$8:$J$371,B11)</x:f>
        <x:v>15</x:v>
      </x:c>
      <x:c r="D11" s="10" t="n">
        <x:v>9</x:v>
      </x:c>
      <x:c r="E11" s="12" t="n">
        <x:v>46276</x:v>
      </x:c>
      <x:c r="F11" s="12" t="n">
        <x:v>46309</x:v>
      </x:c>
      <x:c r="G11" s="10" t="str">
        <x:v>Repeated across days</x:v>
      </x:c>
      <x:c r="H11" s="10"/>
      <x:c r="I11" s="10" t="str">
        <x:v>Brennan Cox</x:v>
      </x:c>
      <x:c r="J11" s="10"/>
      <x:c r="K11" s="10" t="str">
        <x:v>2026-09-11, 2026-09-12, 2026-09-13, 2026-09-16, 2026-09-22, 2026-09-23, 2026-10-10, 2026-10-11, 2026-10-14</x:v>
      </x:c>
      <x:c r="L11" s="10" t="str">
        <x:v>E036, E063, E080, E081, E084, E107, E111, E112, E153, E155, E266, E281, E282, E295, E303</x:v>
      </x:c>
    </x:row>
    <x:row r="12" ht="60" customHeight="1">
      <x:c r="A12" s="10" t="str">
        <x:v>Diego / Garcia</x:v>
      </x:c>
      <x:c r="B12" s="11" t="str">
        <x:v>14590089</x:v>
      </x:c>
      <x:c r="C12" s="10" t="n">
        <x:f>COUNTIFS(Exchanges!$B$8:$B$371,A12,Exchanges!$J$8:$J$371,B12)</x:f>
        <x:v>9</x:v>
      </x:c>
      <x:c r="D12" s="10" t="n">
        <x:v>7</x:v>
      </x:c>
      <x:c r="E12" s="12" t="n">
        <x:v>46276</x:v>
      </x:c>
      <x:c r="F12" s="12" t="n">
        <x:v>46315</x:v>
      </x:c>
      <x:c r="G12" s="10" t="str">
        <x:v>Repeated across days</x:v>
      </x:c>
      <x:c r="H12" s="10"/>
      <x:c r="I12" s="10" t="str">
        <x:v>Diego O. Garcia</x:v>
      </x:c>
      <x:c r="J12" s="10"/>
      <x:c r="K12" s="10" t="str">
        <x:v>2026-09-11, 2026-09-26, 2026-09-27, 2026-10-05, 2026-10-10, 2026-10-11, 2026-10-20</x:v>
      </x:c>
      <x:c r="L12" s="10" t="str">
        <x:v>E020, E194, E195, E196, E240, E242, E268, E294, E332</x:v>
      </x:c>
    </x:row>
    <x:row r="13" ht="60" customHeight="1">
      <x:c r="A13" s="10" t="str">
        <x:v>Diego / Garcia</x:v>
      </x:c>
      <x:c r="B13" s="11" t="str">
        <x:v>14590111</x:v>
      </x:c>
      <x:c r="C13" s="10" t="n">
        <x:f>COUNTIFS(Exchanges!$B$8:$B$371,A13,Exchanges!$J$8:$J$371,B13)</x:f>
        <x:v>14</x:v>
      </x:c>
      <x:c r="D13" s="10" t="n">
        <x:v>8</x:v>
      </x:c>
      <x:c r="E13" s="12" t="n">
        <x:v>46276</x:v>
      </x:c>
      <x:c r="F13" s="12" t="n">
        <x:v>46309</x:v>
      </x:c>
      <x:c r="G13" s="10" t="str">
        <x:v>Repeated across days</x:v>
      </x:c>
      <x:c r="H13" s="10"/>
      <x:c r="I13" s="10" t="str">
        <x:v>Diego O. Garcia</x:v>
      </x:c>
      <x:c r="J13" s="10"/>
      <x:c r="K13" s="10" t="str">
        <x:v>2026-09-11, 2026-09-19, 2026-09-26, 2026-10-01, 2026-10-09, 2026-10-10, 2026-10-11, 2026-10-14</x:v>
      </x:c>
      <x:c r="L13" s="10" t="str">
        <x:v>E021, E022, E133, E184, E185, E217, E261, E263, E267, E272, E288, E292, E293, E302</x:v>
      </x:c>
    </x:row>
    <x:row r="14" ht="60" customHeight="1">
      <x:c r="A14" s="10" t="str">
        <x:v>Gonzalez / David</x:v>
      </x:c>
      <x:c r="B14" s="11" t="str">
        <x:v>14580152</x:v>
      </x:c>
      <x:c r="C14" s="10" t="n">
        <x:f>COUNTIFS(Exchanges!$B$8:$B$371,A14,Exchanges!$J$8:$J$371,B14)</x:f>
        <x:v>13</x:v>
      </x:c>
      <x:c r="D14" s="10" t="n">
        <x:v>10</x:v>
      </x:c>
      <x:c r="E14" s="12" t="n">
        <x:v>46275</x:v>
      </x:c>
      <x:c r="F14" s="12" t="n">
        <x:v>46311</x:v>
      </x:c>
      <x:c r="G14" s="10" t="str">
        <x:v>Repeated across days</x:v>
      </x:c>
      <x:c r="H14" s="10"/>
      <x:c r="I14" s="10" t="str">
        <x:v>David Gonzalez</x:v>
      </x:c>
      <x:c r="J14" s="10"/>
      <x:c r="K14" s="10" t="str">
        <x:v>2026-09-10, 2026-09-15, 2026-09-20, 2026-09-24, 2026-09-28, 2026-09-29, 2026-10-03, 2026-10-04, 2026-10-09, 2026-10-16</x:v>
      </x:c>
      <x:c r="L14" s="10" t="str">
        <x:v>E011, E094, E135, E136, E165, E166, E171, E206, E209, E230, E235, E257, E322</x:v>
      </x:c>
    </x:row>
    <x:row r="15" ht="60" customHeight="1">
      <x:c r="A15" s="10" t="str">
        <x:v>Greg</x:v>
      </x:c>
      <x:c r="B15" s="11" t="str">
        <x:v>14590098</x:v>
      </x:c>
      <x:c r="C15" s="10" t="n">
        <x:f>COUNTIFS(Exchanges!$B$8:$B$371,A15,Exchanges!$J$8:$J$371,B15)</x:f>
        <x:v>18</x:v>
      </x:c>
      <x:c r="D15" s="10" t="n">
        <x:v>10</x:v>
      </x:c>
      <x:c r="E15" s="12" t="n">
        <x:v>46276</x:v>
      </x:c>
      <x:c r="F15" s="12" t="n">
        <x:v>46317</x:v>
      </x:c>
      <x:c r="G15" s="10" t="str">
        <x:v>Repeated across days</x:v>
      </x:c>
      <x:c r="H15" s="10"/>
      <x:c r="I15" s="10" t="str">
        <x:v>Greg B. Mecham</x:v>
      </x:c>
      <x:c r="J15" s="10" t="str">
        <x:v>October 22 adds a surname-addressed Mecham exchange. Roster candidate links Greg and Mecham; speaker attribution still needs confirmation.</x:v>
      </x:c>
      <x:c r="K15" s="10" t="str">
        <x:v>2026-09-11, 2026-09-12, 2026-09-13, 2026-09-14, 2026-09-17, 2026-09-21, 2026-10-05, 2026-10-07, 2026-10-19, 2026-10-22</x:v>
      </x:c>
      <x:c r="L15" s="10" t="str">
        <x:v>E027, E030, E033, E038, E065, E066, E067, E083, E087, E089, E123, E141, E236, E238, E245, E246, E327, E342</x:v>
      </x:c>
    </x:row>
    <x:row r="16" ht="60" customHeight="1">
      <x:c r="A16" s="10" t="str">
        <x:v>Hawkins</x:v>
      </x:c>
      <x:c r="B16" s="11" t="str">
        <x:v>14590107</x:v>
      </x:c>
      <x:c r="C16" s="10" t="n">
        <x:f>COUNTIFS(Exchanges!$B$8:$B$371,A16,Exchanges!$J$8:$J$371,B16)</x:f>
        <x:v>19</x:v>
      </x:c>
      <x:c r="D16" s="10" t="n">
        <x:v>11</x:v>
      </x:c>
      <x:c r="E16" s="12" t="n">
        <x:v>46276</x:v>
      </x:c>
      <x:c r="F16" s="12" t="n">
        <x:v>46311</x:v>
      </x:c>
      <x:c r="G16" s="10" t="str">
        <x:v>Repeated across days</x:v>
      </x:c>
      <x:c r="H16" s="10"/>
      <x:c r="I16" s="10" t="str">
        <x:v>Steven G. Hawkins</x:v>
      </x:c>
      <x:c r="J16" s="10"/>
      <x:c r="K16" s="10" t="str">
        <x:v>2026-09-11, 2026-09-12, 2026-09-13, 2026-09-14, 2026-09-16, 2026-09-17, 2026-10-01, 2026-10-02, 2026-10-14, 2026-10-15, 2026-10-16</x:v>
      </x:c>
      <x:c r="L16" s="10" t="str">
        <x:v>E024, E025, E029, E031, E032, E040, E082, E088, E108, E109, E119, E125, E214, E219, E220, E306, E307, E315, E320</x:v>
      </x:c>
    </x:row>
    <x:row r="17" ht="60" customHeight="1">
      <x:c r="A17" s="10" t="str">
        <x:v>Jackie</x:v>
      </x:c>
      <x:c r="B17" s="11" t="str">
        <x:v>14590104</x:v>
      </x:c>
      <x:c r="C17" s="10" t="n">
        <x:f>COUNTIFS(Exchanges!$B$8:$B$371,A17,Exchanges!$J$8:$J$371,B17)</x:f>
        <x:v>4</x:v>
      </x:c>
      <x:c r="D17" s="10" t="n">
        <x:v>4</x:v>
      </x:c>
      <x:c r="E17" s="12" t="n">
        <x:v>46275</x:v>
      </x:c>
      <x:c r="F17" s="12" t="n">
        <x:v>46299</x:v>
      </x:c>
      <x:c r="G17" s="10" t="str">
        <x:v>Repeated across days</x:v>
      </x:c>
      <x:c r="H17" s="10"/>
      <x:c r="I17" s="10" t="str">
        <x:v>Jaclyn G. Strong (candidate)</x:v>
      </x:c>
      <x:c r="J17" s="10" t="str">
        <x:v>Mostly 14590104 and 14590200; 14590103 has only one uncertain exchange. No roster identity assigned from the nickname alone.</x:v>
      </x:c>
      <x:c r="K17" s="10" t="str">
        <x:v>2026-09-10, 2026-09-11, 2026-10-03, 2026-10-04</x:v>
      </x:c>
      <x:c r="L17" s="10" t="str">
        <x:v>E012, E013, E224, E234</x:v>
      </x:c>
    </x:row>
    <x:row r="18" ht="60" customHeight="1">
      <x:c r="A18" s="10" t="str">
        <x:v>Jackie</x:v>
      </x:c>
      <x:c r="B18" s="11" t="str">
        <x:v>14590200</x:v>
      </x:c>
      <x:c r="C18" s="10" t="n">
        <x:f>COUNTIFS(Exchanges!$B$8:$B$371,A18,Exchanges!$J$8:$J$371,B18)</x:f>
        <x:v>2</x:v>
      </x:c>
      <x:c r="D18" s="10" t="n">
        <x:v>2</x:v>
      </x:c>
      <x:c r="E18" s="12" t="n">
        <x:v>46275</x:v>
      </x:c>
      <x:c r="F18" s="12" t="n">
        <x:v>46276</x:v>
      </x:c>
      <x:c r="G18" s="10" t="str">
        <x:v>Repeated across days</x:v>
      </x:c>
      <x:c r="H18" s="10"/>
      <x:c r="I18" s="10" t="str">
        <x:v>Jaclyn G. Strong (candidate)</x:v>
      </x:c>
      <x:c r="J18" s="10" t="str">
        <x:v>Mostly 14590104 and 14590200; 14590103 has only one uncertain exchange. No roster identity assigned from the nickname alone.</x:v>
      </x:c>
      <x:c r="K18" s="10" t="str">
        <x:v>2026-09-10, 2026-09-11</x:v>
      </x:c>
      <x:c r="L18" s="10" t="str">
        <x:v>E002, E014</x:v>
      </x:c>
    </x:row>
    <x:row r="19" ht="60" customHeight="1">
      <x:c r="A19" s="10" t="str">
        <x:v>Jake</x:v>
      </x:c>
      <x:c r="B19" s="11" t="str">
        <x:v>14590025</x:v>
      </x:c>
      <x:c r="C19" s="10" t="n">
        <x:f>COUNTIFS(Exchanges!$B$8:$B$371,A19,Exchanges!$J$8:$J$371,B19)</x:f>
        <x:v>3</x:v>
      </x:c>
      <x:c r="D19" s="10" t="n">
        <x:v>3</x:v>
      </x:c>
      <x:c r="E19" s="12" t="n">
        <x:v>46276</x:v>
      </x:c>
      <x:c r="F19" s="12" t="n">
        <x:v>46306</x:v>
      </x:c>
      <x:c r="G19" s="10" t="str">
        <x:v>Conflicting names on ID</x:v>
      </x:c>
      <x:c r="H19" s="10" t="str">
        <x:v>Laycock</x:v>
      </x:c>
      <x:c r="I19" s="10" t="str">
        <x:v>Multiple candidates</x:v>
      </x:c>
      <x:c r="J19" s="10" t="str">
        <x:v>More than one officer on the roster uses Jake or Jacob. These rows preserve the spoken first name only.</x:v>
      </x:c>
      <x:c r="K19" s="10" t="str">
        <x:v>2026-09-11, 2026-09-17, 2026-10-11</x:v>
      </x:c>
      <x:c r="L19" s="10" t="str">
        <x:v>E016, E115, E287</x:v>
      </x:c>
    </x:row>
    <x:row r="20" ht="60" customHeight="1">
      <x:c r="A20" s="10" t="str">
        <x:v>Jake</x:v>
      </x:c>
      <x:c r="B20" s="11" t="str">
        <x:v>14590118</x:v>
      </x:c>
      <x:c r="C20" s="10" t="n">
        <x:f>COUNTIFS(Exchanges!$B$8:$B$371,A20,Exchanges!$J$8:$J$371,B20)</x:f>
        <x:v>25</x:v>
      </x:c>
      <x:c r="D20" s="10" t="n">
        <x:v>11</x:v>
      </x:c>
      <x:c r="E20" s="12" t="n">
        <x:v>46276</x:v>
      </x:c>
      <x:c r="F20" s="12" t="n">
        <x:v>46314</x:v>
      </x:c>
      <x:c r="G20" s="10" t="str">
        <x:v>Repeated across days</x:v>
      </x:c>
      <x:c r="H20" s="10"/>
      <x:c r="I20" s="10" t="str">
        <x:v>Multiple candidates</x:v>
      </x:c>
      <x:c r="J20" s="10" t="str">
        <x:v>More than one officer on the roster uses Jake or Jacob. These rows preserve the spoken first name only.</x:v>
      </x:c>
      <x:c r="K20" s="10" t="str">
        <x:v>2026-09-11, 2026-09-12, 2026-09-13, 2026-09-16, 2026-09-17, 2026-09-22, 2026-09-30, 2026-10-01, 2026-10-11, 2026-10-15, 2026-10-19</x:v>
      </x:c>
      <x:c r="L20" s="10" t="str">
        <x:v>E017, E019, E041, E044, E045, E048, E051, E057, E058, E060, E072, E074, E098, E102, E113, E142, E145, E149, E211, E216, E286, E309, E310, E314, E328</x:v>
      </x:c>
    </x:row>
    <x:row r="21" ht="60" customHeight="1">
      <x:c r="A21" s="10" t="str">
        <x:v>Jensen / Josh</x:v>
      </x:c>
      <x:c r="B21" s="11" t="str">
        <x:v>14590088</x:v>
      </x:c>
      <x:c r="C21" s="10" t="n">
        <x:f>COUNTIFS(Exchanges!$B$8:$B$371,A21,Exchanges!$J$8:$J$371,B21)</x:f>
        <x:v>2</x:v>
      </x:c>
      <x:c r="D21" s="10" t="n">
        <x:v>2</x:v>
      </x:c>
      <x:c r="E21" s="12" t="n">
        <x:v>46282</x:v>
      </x:c>
      <x:c r="F21" s="12" t="n">
        <x:v>46300</x:v>
      </x:c>
      <x:c r="G21" s="10" t="str">
        <x:v>Repeated across days</x:v>
      </x:c>
      <x:c r="H21" s="10"/>
      <x:c r="I21" s="10" t="str">
        <x:v>Joshua M. Jensen (candidate)</x:v>
      </x:c>
      <x:c r="J21" s="10" t="str">
        <x:v>Both Jensen and Josh are represented; Joshua Jensen is a candidate. First-name replies alone do not rule out other Joshuas.</x:v>
      </x:c>
      <x:c r="K21" s="10" t="str">
        <x:v>2026-09-17, 2026-10-05</x:v>
      </x:c>
      <x:c r="L21" s="10" t="str">
        <x:v>E118, E239</x:v>
      </x:c>
    </x:row>
    <x:row r="22" ht="60" customHeight="1">
      <x:c r="A22" s="10" t="str">
        <x:v>Luke</x:v>
      </x:c>
      <x:c r="B22" s="11" t="str">
        <x:v>14590117</x:v>
      </x:c>
      <x:c r="C22" s="10" t="n">
        <x:f>COUNTIFS(Exchanges!$B$8:$B$371,A22,Exchanges!$J$8:$J$371,B22)</x:f>
        <x:v>7</x:v>
      </x:c>
      <x:c r="D22" s="10" t="n">
        <x:v>5</x:v>
      </x:c>
      <x:c r="E22" s="12" t="n">
        <x:v>46275</x:v>
      </x:c>
      <x:c r="F22" s="12" t="n">
        <x:v>46316</x:v>
      </x:c>
      <x:c r="G22" s="10" t="str">
        <x:v>Repeated across days</x:v>
      </x:c>
      <x:c r="H22" s="10"/>
      <x:c r="I22" s="10" t="str">
        <x:v>Luke A. Sumbot</x:v>
      </x:c>
      <x:c r="J22" s="10"/>
      <x:c r="K22" s="10" t="str">
        <x:v>2026-09-10, 2026-09-23, 2026-10-08, 2026-10-13, 2026-10-21</x:v>
      </x:c>
      <x:c r="L22" s="10" t="str">
        <x:v>E004, E005, E158, E162, E251, E299, E337</x:v>
      </x:c>
    </x:row>
    <x:row r="23" ht="60" customHeight="1">
      <x:c r="A23" s="10" t="str">
        <x:v>Luke</x:v>
      </x:c>
      <x:c r="B23" s="11" t="str">
        <x:v>14590320</x:v>
      </x:c>
      <x:c r="C23" s="10" t="n">
        <x:f>COUNTIFS(Exchanges!$B$8:$B$371,A23,Exchanges!$J$8:$J$371,B23)</x:f>
        <x:v>4</x:v>
      </x:c>
      <x:c r="D23" s="10" t="n">
        <x:v>4</x:v>
      </x:c>
      <x:c r="E23" s="12" t="n">
        <x:v>46288</x:v>
      </x:c>
      <x:c r="F23" s="12" t="n">
        <x:v>46317</x:v>
      </x:c>
      <x:c r="G23" s="10" t="str">
        <x:v>Repeated across days</x:v>
      </x:c>
      <x:c r="H23" s="10"/>
      <x:c r="I23" s="10" t="str">
        <x:v>Luke A. Sumbot</x:v>
      </x:c>
      <x:c r="J23" s="10"/>
      <x:c r="K23" s="10" t="str">
        <x:v>2026-09-23, 2026-10-03, 2026-10-18, 2026-10-22</x:v>
      </x:c>
      <x:c r="L23" s="10" t="str">
        <x:v>E157, E225, E326, E348</x:v>
      </x:c>
    </x:row>
    <x:row r="24" ht="60" customHeight="1">
      <x:c r="A24" s="10" t="str">
        <x:v>Makai / Kelepi</x:v>
      </x:c>
      <x:c r="B24" s="11" t="str">
        <x:v>14590084</x:v>
      </x:c>
      <x:c r="C24" s="10" t="n">
        <x:f>COUNTIFS(Exchanges!$B$8:$B$371,A24,Exchanges!$J$8:$J$371,B24)</x:f>
        <x:v>3</x:v>
      </x:c>
      <x:c r="D24" s="10" t="n">
        <x:v>3</x:v>
      </x:c>
      <x:c r="E24" s="12" t="n">
        <x:v>46287</x:v>
      </x:c>
      <x:c r="F24" s="12" t="n">
        <x:v>46304</x:v>
      </x:c>
      <x:c r="G24" s="10" t="str">
        <x:v>Repeated across days</x:v>
      </x:c>
      <x:c r="H24" s="10"/>
      <x:c r="I24" s="10" t="str">
        <x:v>Kelepi Makai</x:v>
      </x:c>
      <x:c r="J24" s="10" t="str">
        <x:v>Owner confirmed Makai spelling. 14590247 is also associated with Makai in named exchanges. Further confirmation is needed to attribute a particular recording.</x:v>
      </x:c>
      <x:c r="K24" s="10" t="str">
        <x:v>2026-09-22, 2026-09-26, 2026-10-09</x:v>
      </x:c>
      <x:c r="L24" s="10" t="str">
        <x:v>E144, E189, E264</x:v>
      </x:c>
    </x:row>
    <x:row r="25" ht="60" customHeight="1">
      <x:c r="A25" s="10" t="str">
        <x:v>Makai / Kelepi</x:v>
      </x:c>
      <x:c r="B25" s="11" t="str">
        <x:v>14590105</x:v>
      </x:c>
      <x:c r="C25" s="10" t="n">
        <x:f>COUNTIFS(Exchanges!$B$8:$B$371,A25,Exchanges!$J$8:$J$371,B25)</x:f>
        <x:v>2</x:v>
      </x:c>
      <x:c r="D25" s="10" t="n">
        <x:v>1</x:v>
      </x:c>
      <x:c r="E25" s="12" t="n">
        <x:v>46277</x:v>
      </x:c>
      <x:c r="F25" s="12" t="n">
        <x:v>46277</x:v>
      </x:c>
      <x:c r="G25" s="10" t="str">
        <x:v>Owner identified</x:v>
      </x:c>
      <x:c r="H25" s="10"/>
      <x:c r="I25" s="10" t="str">
        <x:v>Kelepi Makai</x:v>
      </x:c>
      <x:c r="J25" s="10" t="str">
        <x:v>Owner verified Makai in September 12 clips 446 and 851; replies on 14590105 support a single-day association.</x:v>
      </x:c>
      <x:c r="K25" s="10" t="str">
        <x:v>2026-09-12</x:v>
      </x:c>
      <x:c r="L25" s="10" t="str">
        <x:v>E050, E062</x:v>
      </x:c>
    </x:row>
    <x:row r="26" ht="60" customHeight="1">
      <x:c r="A26" s="10" t="str">
        <x:v>Mason</x:v>
      </x:c>
      <x:c r="B26" s="11" t="str">
        <x:v>14590237</x:v>
      </x:c>
      <x:c r="C26" s="10" t="n">
        <x:f>COUNTIFS(Exchanges!$B$8:$B$371,A26,Exchanges!$J$8:$J$371,B26)</x:f>
        <x:v>10</x:v>
      </x:c>
      <x:c r="D26" s="10" t="n">
        <x:v>8</x:v>
      </x:c>
      <x:c r="E26" s="12" t="n">
        <x:v>46278</x:v>
      </x:c>
      <x:c r="F26" s="12" t="n">
        <x:v>46306</x:v>
      </x:c>
      <x:c r="G26" s="10" t="str">
        <x:v>Repeated across days</x:v>
      </x:c>
      <x:c r="H26" s="10"/>
      <x:c r="I26" s="10" t="str">
        <x:v>Brandon K. Mason</x:v>
      </x:c>
      <x:c r="J26" s="10"/>
      <x:c r="K26" s="10" t="str">
        <x:v>2026-09-13, 2026-09-17, 2026-09-21, 2026-09-25, 2026-09-26, 2026-10-05, 2026-10-10, 2026-10-11</x:v>
      </x:c>
      <x:c r="L26" s="10" t="str">
        <x:v>E077, E116, E138, E172, E176, E188, E192, E241, E269, E291</x:v>
      </x:c>
    </x:row>
    <x:row r="27" ht="60" customHeight="1">
      <x:c r="A27" s="10" t="str">
        <x:v>Mason</x:v>
      </x:c>
      <x:c r="B27" s="11" t="str">
        <x:v>14590315</x:v>
      </x:c>
      <x:c r="C27" s="10" t="n">
        <x:f>COUNTIFS(Exchanges!$B$8:$B$371,A27,Exchanges!$J$8:$J$371,B27)</x:f>
        <x:v>22</x:v>
      </x:c>
      <x:c r="D27" s="10" t="n">
        <x:v>10</x:v>
      </x:c>
      <x:c r="E27" s="12" t="n">
        <x:v>46277</x:v>
      </x:c>
      <x:c r="F27" s="12" t="n">
        <x:v>46315</x:v>
      </x:c>
      <x:c r="G27" s="10" t="str">
        <x:v>Repeated across days</x:v>
      </x:c>
      <x:c r="H27" s="10"/>
      <x:c r="I27" s="10" t="str">
        <x:v>Brandon K. Mason</x:v>
      </x:c>
      <x:c r="J27" s="10"/>
      <x:c r="K27" s="10" t="str">
        <x:v>2026-09-12, 2026-09-13, 2026-09-16, 2026-09-21, 2026-09-22, 2026-09-26, 2026-10-06, 2026-10-10, 2026-10-11, 2026-10-20</x:v>
      </x:c>
      <x:c r="L27" s="10" t="str">
        <x:v>E042, E043, E049, E056, E059, E073, E076, E100, E103, E104, E105, E106, E139, E147, E150, E187, E190, E244, E270, E271, E289, E330</x:v>
      </x:c>
    </x:row>
    <x:row r="28" ht="60" customHeight="1">
      <x:c r="A28" s="10" t="str">
        <x:v>McClellan / Dennis</x:v>
      </x:c>
      <x:c r="B28" s="11" t="str">
        <x:v>14590162</x:v>
      </x:c>
      <x:c r="C28" s="10" t="n">
        <x:f>COUNTIFS(Exchanges!$B$8:$B$371,A28,Exchanges!$J$8:$J$371,B28)</x:f>
        <x:v>3</x:v>
      </x:c>
      <x:c r="D28" s="10" t="n">
        <x:v>3</x:v>
      </x:c>
      <x:c r="E28" s="12" t="n">
        <x:v>46283</x:v>
      </x:c>
      <x:c r="F28" s="12" t="n">
        <x:v>46293</x:v>
      </x:c>
      <x:c r="G28" s="10" t="str">
        <x:v>Repeated across days</x:v>
      </x:c>
      <x:c r="H28" s="10"/>
      <x:c r="I28" s="10" t="str">
        <x:v>Dennis R. McClellan</x:v>
      </x:c>
      <x:c r="J28" s="10"/>
      <x:c r="K28" s="10" t="str">
        <x:v>2026-09-18, 2026-09-23, 2026-09-28</x:v>
      </x:c>
      <x:c r="L28" s="10" t="str">
        <x:v>E127, E161, E202</x:v>
      </x:c>
    </x:row>
    <x:row r="29" ht="60" customHeight="1">
      <x:c r="A29" s="10" t="str">
        <x:v>McKay</x:v>
      </x:c>
      <x:c r="B29" s="11" t="str">
        <x:v>14590081</x:v>
      </x:c>
      <x:c r="C29" s="10" t="n">
        <x:f>COUNTIFS(Exchanges!$B$8:$B$371,A29,Exchanges!$J$8:$J$371,B29)</x:f>
        <x:v>2</x:v>
      </x:c>
      <x:c r="D29" s="10" t="n">
        <x:v>2</x:v>
      </x:c>
      <x:c r="E29" s="12" t="n">
        <x:v>46275</x:v>
      </x:c>
      <x:c r="F29" s="12" t="n">
        <x:v>46316</x:v>
      </x:c>
      <x:c r="G29" s="10" t="str">
        <x:v>Repeated across days</x:v>
      </x:c>
      <x:c r="H29" s="10"/>
      <x:c r="I29" s="10" t="str">
        <x:v>Mckay A. Valadez</x:v>
      </x:c>
      <x:c r="J29" s="10"/>
      <x:c r="K29" s="10" t="str">
        <x:v>2026-09-10, 2026-10-21</x:v>
      </x:c>
      <x:c r="L29" s="10" t="str">
        <x:v>E009, E336</x:v>
      </x:c>
    </x:row>
    <x:row r="30" ht="60" customHeight="1">
      <x:c r="A30" s="10" t="str">
        <x:v>McKay</x:v>
      </x:c>
      <x:c r="B30" s="11" t="str">
        <x:v>14590102</x:v>
      </x:c>
      <x:c r="C30" s="10" t="n">
        <x:f>COUNTIFS(Exchanges!$B$8:$B$371,A30,Exchanges!$J$8:$J$371,B30)</x:f>
        <x:v>8</x:v>
      </x:c>
      <x:c r="D30" s="10" t="n">
        <x:v>6</x:v>
      </x:c>
      <x:c r="E30" s="12" t="n">
        <x:v>46275</x:v>
      </x:c>
      <x:c r="F30" s="12" t="n">
        <x:v>46316</x:v>
      </x:c>
      <x:c r="G30" s="10" t="str">
        <x:v>Repeated across days</x:v>
      </x:c>
      <x:c r="H30" s="10"/>
      <x:c r="I30" s="10" t="str">
        <x:v>Mckay A. Valadez</x:v>
      </x:c>
      <x:c r="J30" s="10"/>
      <x:c r="K30" s="10" t="str">
        <x:v>2026-09-10, 2026-09-14, 2026-09-18, 2026-09-28, 2026-10-17, 2026-10-21</x:v>
      </x:c>
      <x:c r="L30" s="10" t="str">
        <x:v>E010, E090, E091, E126, E200, E323, E325, E335</x:v>
      </x:c>
    </x:row>
    <x:row r="31" ht="60" customHeight="1">
      <x:c r="A31" s="10" t="str">
        <x:v>Mitch</x:v>
      </x:c>
      <x:c r="B31" s="11" t="str">
        <x:v>14590344</x:v>
      </x:c>
      <x:c r="C31" s="10" t="n">
        <x:f>COUNTIFS(Exchanges!$B$8:$B$371,A31,Exchanges!$J$8:$J$371,B31)</x:f>
        <x:v>10</x:v>
      </x:c>
      <x:c r="D31" s="10" t="n">
        <x:v>8</x:v>
      </x:c>
      <x:c r="E31" s="12" t="n">
        <x:v>46277</x:v>
      </x:c>
      <x:c r="F31" s="12" t="n">
        <x:v>46311</x:v>
      </x:c>
      <x:c r="G31" s="10" t="str">
        <x:v>Repeated across days</x:v>
      </x:c>
      <x:c r="H31" s="10"/>
      <x:c r="I31" s="10" t="str">
        <x:v>Mitchell R. Godfrey (candidate)</x:v>
      </x:c>
      <x:c r="J31" s="10" t="str">
        <x:v>14590036 also answers Hawkins. Keep 14590344 separate from 14590036 pending audio and assignment confirmation.</x:v>
      </x:c>
      <x:c r="K31" s="10" t="str">
        <x:v>2026-09-12, 2026-09-17, 2026-09-23, 2026-09-25, 2026-09-27, 2026-10-01, 2026-10-15, 2026-10-16</x:v>
      </x:c>
      <x:c r="L31" s="10" t="str">
        <x:v>E039, E122, E124, E154, E178, E199, E213, E308, E318, E319</x:v>
      </x:c>
    </x:row>
    <x:row r="32" ht="60" customHeight="1">
      <x:c r="A32" s="10" t="str">
        <x:v>Phil</x:v>
      </x:c>
      <x:c r="B32" s="11" t="str">
        <x:v>14590126</x:v>
      </x:c>
      <x:c r="C32" s="10" t="n">
        <x:f>COUNTIFS(Exchanges!$B$8:$B$371,A32,Exchanges!$J$8:$J$371,B32)</x:f>
        <x:v>7</x:v>
      </x:c>
      <x:c r="D32" s="10" t="n">
        <x:v>5</x:v>
      </x:c>
      <x:c r="E32" s="12" t="n">
        <x:v>46276</x:v>
      </x:c>
      <x:c r="F32" s="12" t="n">
        <x:v>46308</x:v>
      </x:c>
      <x:c r="G32" s="10" t="str">
        <x:v>Conflicting names on ID</x:v>
      </x:c>
      <x:c r="H32" s="10" t="str">
        <x:v>Valadez</x:v>
      </x:c>
      <x:c r="I32" s="10" t="str">
        <x:v>Philip E. Valadez (candidate)</x:v>
      </x:c>
      <x:c r="J32" s="10" t="str">
        <x:v>Phil is not a unique first name on the roster; Philip Valadez is a candidate because of a separate Valadez hail.</x:v>
      </x:c>
      <x:c r="K32" s="10" t="str">
        <x:v>2026-09-11, 2026-09-23, 2026-10-08, 2026-10-09, 2026-10-13</x:v>
      </x:c>
      <x:c r="L32" s="10" t="str">
        <x:v>E018, E023, E156, E253, E258, E262, E300</x:v>
      </x:c>
    </x:row>
    <x:row r="33" ht="60" customHeight="1">
      <x:c r="A33" s="10" t="str">
        <x:v>Pitt</x:v>
      </x:c>
      <x:c r="B33" s="11" t="str">
        <x:v>14590114</x:v>
      </x:c>
      <x:c r="C33" s="10" t="n">
        <x:f>COUNTIFS(Exchanges!$B$8:$B$371,A33,Exchanges!$J$8:$J$371,B33)</x:f>
        <x:v>2</x:v>
      </x:c>
      <x:c r="D33" s="10" t="n">
        <x:v>2</x:v>
      </x:c>
      <x:c r="E33" s="12" t="n">
        <x:v>46279</x:v>
      </x:c>
      <x:c r="F33" s="12" t="n">
        <x:v>46303</x:v>
      </x:c>
      <x:c r="G33" s="10" t="str">
        <x:v>Conflicting names on ID</x:v>
      </x:c>
      <x:c r="H33" s="10" t="str">
        <x:v>Pat (unclear), Peter (unclear)</x:v>
      </x:c>
      <x:c r="I33" s="10" t="str">
        <x:v>Kyle B. Pitt</x:v>
      </x:c>
      <x:c r="J33" s="10"/>
      <x:c r="K33" s="10" t="str">
        <x:v>2026-09-14, 2026-10-08</x:v>
      </x:c>
      <x:c r="L33" s="10" t="str">
        <x:v>E092, E254</x:v>
      </x:c>
    </x:row>
    <x:row r="34" ht="60" customHeight="1">
      <x:c r="A34" s="10" t="str">
        <x:v>Renter</x:v>
      </x:c>
      <x:c r="B34" s="11" t="str">
        <x:v>14590087</x:v>
      </x:c>
      <x:c r="C34" s="10" t="n">
        <x:f>COUNTIFS(Exchanges!$B$8:$B$371,A34,Exchanges!$J$8:$J$371,B34)</x:f>
        <x:v>10</x:v>
      </x:c>
      <x:c r="D34" s="10" t="n">
        <x:v>7</x:v>
      </x:c>
      <x:c r="E34" s="12" t="n">
        <x:v>46278</x:v>
      </x:c>
      <x:c r="F34" s="12" t="n">
        <x:v>46306</x:v>
      </x:c>
      <x:c r="G34" s="10" t="str">
        <x:v>Repeated across days</x:v>
      </x:c>
      <x:c r="H34" s="10"/>
      <x:c r="I34" s="10" t="str">
        <x:v>Dustin R. Renter</x:v>
      </x:c>
      <x:c r="J34" s="10"/>
      <x:c r="K34" s="10" t="str">
        <x:v>2026-09-13, 2026-09-17, 2026-09-25, 2026-09-26, 2026-09-30, 2026-10-01, 2026-10-11</x:v>
      </x:c>
      <x:c r="L34" s="10" t="str">
        <x:v>E075, E078, E120, E121, E174, E186, E191, E210, E215, E290</x:v>
      </x:c>
    </x:row>
    <x:row r="35" ht="60" customHeight="1">
      <x:c r="A35" s="10" t="str">
        <x:v>Richardson / Cole</x:v>
      </x:c>
      <x:c r="B35" s="11" t="str">
        <x:v>14590044</x:v>
      </x:c>
      <x:c r="C35" s="10" t="n">
        <x:f>COUNTIFS(Exchanges!$B$8:$B$371,A35,Exchanges!$J$8:$J$371,B35)</x:f>
        <x:v>5</x:v>
      </x:c>
      <x:c r="D35" s="10" t="n">
        <x:v>4</x:v>
      </x:c>
      <x:c r="E35" s="12" t="n">
        <x:v>46286</x:v>
      </x:c>
      <x:c r="F35" s="12" t="n">
        <x:v>46311</x:v>
      </x:c>
      <x:c r="G35" s="10" t="str">
        <x:v>Repeated across days</x:v>
      </x:c>
      <x:c r="H35" s="10"/>
      <x:c r="I35" s="10" t="str">
        <x:v>Cole G. Richardson</x:v>
      </x:c>
      <x:c r="J35" s="10"/>
      <x:c r="K35" s="10" t="str">
        <x:v>2026-09-21, 2026-09-22, 2026-10-14, 2026-10-16</x:v>
      </x:c>
      <x:c r="L35" s="10" t="str">
        <x:v>E140, E146, E148, E304, E321</x:v>
      </x:c>
    </x:row>
    <x:row r="36" ht="60" customHeight="1">
      <x:c r="A36" s="10" t="str">
        <x:v>Richardson / Cole</x:v>
      </x:c>
      <x:c r="B36" s="11" t="str">
        <x:v>14590123</x:v>
      </x:c>
      <x:c r="C36" s="10" t="n">
        <x:f>COUNTIFS(Exchanges!$B$8:$B$371,A36,Exchanges!$J$8:$J$371,B36)</x:f>
        <x:v>12</x:v>
      </x:c>
      <x:c r="D36" s="10" t="n">
        <x:v>7</x:v>
      </x:c>
      <x:c r="E36" s="12" t="n">
        <x:v>46276</x:v>
      </x:c>
      <x:c r="F36" s="12" t="n">
        <x:v>46307</x:v>
      </x:c>
      <x:c r="G36" s="10" t="str">
        <x:v>Repeated across days</x:v>
      </x:c>
      <x:c r="H36" s="10"/>
      <x:c r="I36" s="10" t="str">
        <x:v>Cole G. Richardson</x:v>
      </x:c>
      <x:c r="J36" s="10"/>
      <x:c r="K36" s="10" t="str">
        <x:v>2026-09-11, 2026-09-12, 2026-09-13, 2026-09-16, 2026-09-17, 2026-10-01, 2026-10-12</x:v>
      </x:c>
      <x:c r="L36" s="10" t="str">
        <x:v>E015, E047, E052, E053, E054, E055, E079, E099, E101, E114, E218, E296</x:v>
      </x:c>
    </x:row>
    <x:row r="37" ht="60" customHeight="1">
      <x:c r="A37" s="10" t="str">
        <x:v>Sam</x:v>
      </x:c>
      <x:c r="B37" s="11" t="str">
        <x:v>14590067</x:v>
      </x:c>
      <x:c r="C37" s="10" t="n">
        <x:f>COUNTIFS(Exchanges!$B$8:$B$371,A37,Exchanges!$J$8:$J$371,B37)</x:f>
        <x:v>2</x:v>
      </x:c>
      <x:c r="D37" s="10" t="n">
        <x:v>2</x:v>
      </x:c>
      <x:c r="E37" s="12" t="n">
        <x:v>46302</x:v>
      </x:c>
      <x:c r="F37" s="12" t="n">
        <x:v>46303</x:v>
      </x:c>
      <x:c r="G37" s="10" t="str">
        <x:v>Owner identified</x:v>
      </x:c>
      <x:c r="H37" s="10"/>
      <x:c r="I37" s="10" t="str">
        <x:v>Sammantha J. Halladay</x:v>
      </x:c>
      <x:c r="J37" s="10" t="str">
        <x:v>Owner identifies the female reply in October 7 clip 55 as Halladay; October 8 uses the same ID.</x:v>
      </x:c>
      <x:c r="K37" s="10" t="str">
        <x:v>2026-10-07, 2026-10-08</x:v>
      </x:c>
      <x:c r="L37" s="10" t="str">
        <x:v>E248, E250</x:v>
      </x:c>
    </x:row>
    <x:row r="38" ht="60" customHeight="1">
      <x:c r="A38" s="10" t="str">
        <x:v>Sam</x:v>
      </x:c>
      <x:c r="B38" s="11" t="str">
        <x:v>14590100</x:v>
      </x:c>
      <x:c r="C38" s="10" t="n">
        <x:f>COUNTIFS(Exchanges!$B$8:$B$371,A38,Exchanges!$J$8:$J$371,B38)</x:f>
        <x:v>3</x:v>
      </x:c>
      <x:c r="D38" s="10" t="n">
        <x:v>2</x:v>
      </x:c>
      <x:c r="E38" s="12" t="n">
        <x:v>46284</x:v>
      </x:c>
      <x:c r="F38" s="12" t="n">
        <x:v>46289</x:v>
      </x:c>
      <x:c r="G38" s="10" t="str">
        <x:v>Owner identified</x:v>
      </x:c>
      <x:c r="H38" s="10" t="str">
        <x:v>Heaton / Colby</x:v>
      </x:c>
      <x:c r="I38" s="10" t="str">
        <x:v>Sammantha J. Halladay</x:v>
      </x:c>
      <x:c r="J38" s="10" t="str">
        <x:v>Owner identifies the September 24 female replies as Halladay. September 19 and Colby references remain unverified.</x:v>
      </x:c>
      <x:c r="K38" s="10" t="str">
        <x:v>2026-09-19, 2026-09-24</x:v>
      </x:c>
      <x:c r="L38" s="10" t="str">
        <x:v>E130, E163, E164</x:v>
      </x:c>
    </x:row>
    <x:row r="39" ht="60" customHeight="1">
      <x:c r="A39" s="10" t="str">
        <x:v>Sam</x:v>
      </x:c>
      <x:c r="B39" s="11" t="str">
        <x:v>14590090</x:v>
      </x:c>
      <x:c r="C39" s="10" t="n">
        <x:f>COUNTIFS(Exchanges!$B$8:$B$371,A39,Exchanges!$J$8:$J$371,B39)</x:f>
        <x:v>2</x:v>
      </x:c>
      <x:c r="D39" s="10" t="n">
        <x:v>1</x:v>
      </x:c>
      <x:c r="E39" s="12" t="n">
        <x:v>46293</x:v>
      </x:c>
      <x:c r="F39" s="12" t="n">
        <x:v>46293</x:v>
      </x:c>
      <x:c r="G39" s="10" t="str">
        <x:v>Owner identified</x:v>
      </x:c>
      <x:c r="H39" s="10"/>
      <x:c r="I39" s="10" t="str">
        <x:v>Samuel Canizalez</x:v>
      </x:c>
      <x:c r="J39" s="10" t="str">
        <x:v>Owner identifies the September 28 Sam replies as Samuel Canizalez.</x:v>
      </x:c>
      <x:c r="K39" s="10" t="str">
        <x:v>2026-09-28</x:v>
      </x:c>
      <x:c r="L39" s="10" t="str">
        <x:v>E203, E204</x:v>
      </x:c>
    </x:row>
    <x:row r="40" ht="60" customHeight="1">
      <x:c r="A40" s="10" t="str">
        <x:v>Sam</x:v>
      </x:c>
      <x:c r="B40" s="11" t="str">
        <x:v>14590066</x:v>
      </x:c>
      <x:c r="C40" s="10" t="n">
        <x:f>COUNTIFS(Exchanges!$B$8:$B$371,A40,Exchanges!$J$8:$J$371,B40)</x:f>
        <x:v>1</x:v>
      </x:c>
      <x:c r="D40" s="10" t="n">
        <x:v>1</x:v>
      </x:c>
      <x:c r="E40" s="12" t="n">
        <x:v>46293</x:v>
      </x:c>
      <x:c r="F40" s="12" t="n">
        <x:v>46293</x:v>
      </x:c>
      <x:c r="G40" s="10" t="str">
        <x:v>Owner identified</x:v>
      </x:c>
      <x:c r="H40" s="10"/>
      <x:c r="I40" s="10" t="str">
        <x:v>Samuel Canizalez</x:v>
      </x:c>
      <x:c r="J40" s="10" t="str">
        <x:v>Owner identifies Sam on 14590066 as Samuel Canizalez. Full exchange wording remains unverified.</x:v>
      </x:c>
      <x:c r="K40" s="10" t="str">
        <x:v>2026-09-28</x:v>
      </x:c>
      <x:c r="L40" s="10" t="str">
        <x:v>E205</x:v>
      </x:c>
    </x:row>
    <x:row r="41" ht="60" customHeight="1">
      <x:c r="A41" s="10" t="str">
        <x:v>Sam</x:v>
      </x:c>
      <x:c r="B41" s="11" t="str">
        <x:v>14590268</x:v>
      </x:c>
      <x:c r="C41" s="10" t="n">
        <x:f>COUNTIFS(Exchanges!$B$8:$B$371,A41,Exchanges!$J$8:$J$371,B41)</x:f>
        <x:v>1</x:v>
      </x:c>
      <x:c r="D41" s="10" t="n">
        <x:v>1</x:v>
      </x:c>
      <x:c r="E41" s="12" t="n">
        <x:v>46302</x:v>
      </x:c>
      <x:c r="F41" s="12" t="n">
        <x:v>46302</x:v>
      </x:c>
      <x:c r="G41" s="10" t="str">
        <x:v>Owner identified</x:v>
      </x:c>
      <x:c r="H41" s="10"/>
      <x:c r="I41" s="10" t="str">
        <x:v>Samuel Canizalez</x:v>
      </x:c>
      <x:c r="J41" s="10" t="str">
        <x:v>Owner identifies Sam on 14590268 as Samuel Canizalez. Full exchange wording remains unverified.</x:v>
      </x:c>
      <x:c r="K41" s="10" t="str">
        <x:v>2026-10-07</x:v>
      </x:c>
      <x:c r="L41" s="10" t="str">
        <x:v>E247</x:v>
      </x:c>
    </x:row>
    <x:row r="42" ht="60" customHeight="1">
      <x:c r="A42" s="10" t="str">
        <x:v>Ron</x:v>
      </x:c>
      <x:c r="B42" s="11" t="str">
        <x:v>14590037</x:v>
      </x:c>
      <x:c r="C42" s="10" t="n">
        <x:f>COUNTIFS(Exchanges!$B$8:$B$371,A42,Exchanges!$J$8:$J$371,B42)</x:f>
        <x:v>4</x:v>
      </x:c>
      <x:c r="D42" s="10" t="n">
        <x:v>4</x:v>
      </x:c>
      <x:c r="E42" s="12" t="n">
        <x:v>46280</x:v>
      </x:c>
      <x:c r="F42" s="12" t="n">
        <x:v>46299</x:v>
      </x:c>
      <x:c r="G42" s="10" t="str">
        <x:v>Repeated across days</x:v>
      </x:c>
      <x:c r="H42" s="10"/>
      <x:c r="I42" s="10" t="str">
        <x:v>Unresolved</x:v>
      </x:c>
      <x:c r="J42" s="10" t="str">
        <x:v>Ron could be a name, nickname, or a transcription of Bronson. Several distinct IDs appear; no roster identity assigned.</x:v>
      </x:c>
      <x:c r="K42" s="10" t="str">
        <x:v>2026-09-15, 2026-09-20, 2026-09-28, 2026-10-04</x:v>
      </x:c>
      <x:c r="L42" s="10" t="str">
        <x:v>E095, E137, E207, E231</x:v>
      </x:c>
    </x:row>
    <x:row r="43" ht="60" customHeight="1">
      <x:c r="A43" s="10" t="str">
        <x:v>Ron</x:v>
      </x:c>
      <x:c r="B43" s="11" t="str">
        <x:v>14590095</x:v>
      </x:c>
      <x:c r="C43" s="10" t="n">
        <x:f>COUNTIFS(Exchanges!$B$8:$B$371,A43,Exchanges!$J$8:$J$371,B43)</x:f>
        <x:v>4</x:v>
      </x:c>
      <x:c r="D43" s="10" t="n">
        <x:v>3</x:v>
      </x:c>
      <x:c r="E43" s="12" t="n">
        <x:v>46283</x:v>
      </x:c>
      <x:c r="F43" s="12" t="n">
        <x:v>46289</x:v>
      </x:c>
      <x:c r="G43" s="10" t="str">
        <x:v>Repeated across days</x:v>
      </x:c>
      <x:c r="H43" s="10"/>
      <x:c r="I43" s="10" t="str">
        <x:v>Unresolved</x:v>
      </x:c>
      <x:c r="J43" s="10" t="str">
        <x:v>Ron could be a name, nickname, or a transcription of Bronson. Several distinct IDs appear; no roster identity assigned.</x:v>
      </x:c>
      <x:c r="K43" s="10" t="str">
        <x:v>2026-09-18, 2026-09-19, 2026-09-24</x:v>
      </x:c>
      <x:c r="L43" s="10" t="str">
        <x:v>E128, E131, E132, E167</x:v>
      </x:c>
    </x:row>
    <x:row r="44" ht="60" customHeight="1">
      <x:c r="A44" s="10" t="str">
        <x:v>Ron</x:v>
      </x:c>
      <x:c r="B44" s="11" t="str">
        <x:v>14590099</x:v>
      </x:c>
      <x:c r="C44" s="10" t="n">
        <x:f>COUNTIFS(Exchanges!$B$8:$B$371,A44,Exchanges!$J$8:$J$371,B44)</x:f>
        <x:v>3</x:v>
      </x:c>
      <x:c r="D44" s="10" t="n">
        <x:v>2</x:v>
      </x:c>
      <x:c r="E44" s="12" t="n">
        <x:v>46299</x:v>
      </x:c>
      <x:c r="F44" s="12" t="n">
        <x:v>46310</x:v>
      </x:c>
      <x:c r="G44" s="10" t="str">
        <x:v>Repeated across days</x:v>
      </x:c>
      <x:c r="H44" s="10"/>
      <x:c r="I44" s="10" t="str">
        <x:v>Unresolved</x:v>
      </x:c>
      <x:c r="J44" s="10" t="str">
        <x:v>Ron could be a name, nickname, or a transcription of Bronson. Several distinct IDs appear; no roster identity assigned.</x:v>
      </x:c>
      <x:c r="K44" s="10" t="str">
        <x:v>2026-10-04, 2026-10-15</x:v>
      </x:c>
      <x:c r="L44" s="10" t="str">
        <x:v>E232, E233, E312</x:v>
      </x:c>
    </x:row>
    <x:row r="45" ht="60" customHeight="1">
      <x:c r="A45" s="10" t="str">
        <x:v>Ron</x:v>
      </x:c>
      <x:c r="B45" s="11" t="str">
        <x:v>14590207</x:v>
      </x:c>
      <x:c r="C45" s="10" t="n">
        <x:f>COUNTIFS(Exchanges!$B$8:$B$371,A45,Exchanges!$J$8:$J$371,B45)</x:f>
        <x:v>2</x:v>
      </x:c>
      <x:c r="D45" s="10" t="n">
        <x:v>2</x:v>
      </x:c>
      <x:c r="E45" s="12" t="n">
        <x:v>46291</x:v>
      </x:c>
      <x:c r="F45" s="12" t="n">
        <x:v>46304</x:v>
      </x:c>
      <x:c r="G45" s="10" t="str">
        <x:v>Repeated across days</x:v>
      </x:c>
      <x:c r="H45" s="10"/>
      <x:c r="I45" s="10" t="str">
        <x:v>Unresolved</x:v>
      </x:c>
      <x:c r="J45" s="10" t="str">
        <x:v>Ron could be a name, nickname, or a transcription of Bronson. Several distinct IDs appear; no roster identity assigned.</x:v>
      </x:c>
      <x:c r="K45" s="10" t="str">
        <x:v>2026-09-26, 2026-10-09</x:v>
      </x:c>
      <x:c r="L45" s="10" t="str">
        <x:v>E193, E265</x:v>
      </x:c>
    </x:row>
    <x:row r="46" ht="60" customHeight="1">
      <x:c r="A46" s="10" t="str">
        <x:v>Somerville</x:v>
      </x:c>
      <x:c r="B46" s="11" t="str">
        <x:v>14590042</x:v>
      </x:c>
      <x:c r="C46" s="10" t="n">
        <x:f>COUNTIFS(Exchanges!$B$8:$B$371,A46,Exchanges!$J$8:$J$371,B46)</x:f>
        <x:v>4</x:v>
      </x:c>
      <x:c r="D46" s="10" t="n">
        <x:v>4</x:v>
      </x:c>
      <x:c r="E46" s="12" t="n">
        <x:v>46274</x:v>
      </x:c>
      <x:c r="F46" s="12" t="n">
        <x:v>46297</x:v>
      </x:c>
      <x:c r="G46" s="10" t="str">
        <x:v>Repeated across days</x:v>
      </x:c>
      <x:c r="H46" s="10"/>
      <x:c r="I46" s="10" t="str">
        <x:v>J. Tayler Somerville</x:v>
      </x:c>
      <x:c r="J46" s="10"/>
      <x:c r="K46" s="10" t="str">
        <x:v>2026-09-09, 2026-09-15, 2026-09-24, 2026-10-02</x:v>
      </x:c>
      <x:c r="L46" s="10" t="str">
        <x:v>E001, E096, E170, E222</x:v>
      </x:c>
    </x:row>
    <x:row r="47" ht="60" customHeight="1">
      <x:c r="A47" s="10" t="str">
        <x:v>Somerville</x:v>
      </x:c>
      <x:c r="B47" s="11" t="str">
        <x:v>14590073</x:v>
      </x:c>
      <x:c r="C47" s="10" t="n">
        <x:f>COUNTIFS(Exchanges!$B$8:$B$371,A47,Exchanges!$J$8:$J$371,B47)</x:f>
        <x:v>10</x:v>
      </x:c>
      <x:c r="D47" s="10" t="n">
        <x:v>9</x:v>
      </x:c>
      <x:c r="E47" s="12" t="n">
        <x:v>46281</x:v>
      </x:c>
      <x:c r="F47" s="12" t="n">
        <x:v>46317</x:v>
      </x:c>
      <x:c r="G47" s="10" t="str">
        <x:v>Repeated across days</x:v>
      </x:c>
      <x:c r="H47" s="10"/>
      <x:c r="I47" s="10" t="str">
        <x:v>J. Tayler Somerville</x:v>
      </x:c>
      <x:c r="J47" s="10"/>
      <x:c r="K47" s="10" t="str">
        <x:v>2026-09-16, 2026-09-24, 2026-09-26, 2026-10-02, 2026-10-03, 2026-10-08, 2026-10-09, 2026-10-21, 2026-10-22</x:v>
      </x:c>
      <x:c r="L47" s="10" t="str">
        <x:v>E097, E168, E169, E182, E223, E227, E255, E256, E339, E351</x:v>
      </x:c>
    </x:row>
    <x:row r="48" ht="60" customHeight="1">
      <x:c r="A48" s="10" t="str">
        <x:v>Tonga</x:v>
      </x:c>
      <x:c r="B48" s="11" t="str">
        <x:v>14590038</x:v>
      </x:c>
      <x:c r="C48" s="10" t="n">
        <x:f>COUNTIFS(Exchanges!$B$8:$B$371,A48,Exchanges!$J$8:$J$371,B48)</x:f>
        <x:v>5</x:v>
      </x:c>
      <x:c r="D48" s="10" t="n">
        <x:v>5</x:v>
      </x:c>
      <x:c r="E48" s="12" t="n">
        <x:v>46277</x:v>
      </x:c>
      <x:c r="F48" s="12" t="n">
        <x:v>46315</x:v>
      </x:c>
      <x:c r="G48" s="10" t="str">
        <x:v>Repeated across days</x:v>
      </x:c>
      <x:c r="H48" s="10"/>
      <x:c r="I48" s="10" t="str">
        <x:v>Spencer Tonga</x:v>
      </x:c>
      <x:c r="J48" s="10"/>
      <x:c r="K48" s="10" t="str">
        <x:v>2026-09-12, 2026-09-14, 2026-09-26, 2026-10-10, 2026-10-20</x:v>
      </x:c>
      <x:c r="L48" s="10" t="str">
        <x:v>E071, E085, E183, E278, E333</x:v>
      </x:c>
    </x:row>
    <x:row r="49" ht="60" customHeight="1">
      <x:c r="A49" s="10" t="str">
        <x:v>Tonga</x:v>
      </x:c>
      <x:c r="B49" s="11" t="str">
        <x:v>14590345</x:v>
      </x:c>
      <x:c r="C49" s="10" t="n">
        <x:f>COUNTIFS(Exchanges!$B$8:$B$371,A49,Exchanges!$J$8:$J$371,B49)</x:f>
        <x:v>14</x:v>
      </x:c>
      <x:c r="D49" s="10" t="n">
        <x:v>8</x:v>
      </x:c>
      <x:c r="E49" s="12" t="n">
        <x:v>46276</x:v>
      </x:c>
      <x:c r="F49" s="12" t="n">
        <x:v>46306</x:v>
      </x:c>
      <x:c r="G49" s="10" t="str">
        <x:v>Repeated across days</x:v>
      </x:c>
      <x:c r="H49" s="10"/>
      <x:c r="I49" s="10" t="str">
        <x:v>Spencer Tonga</x:v>
      </x:c>
      <x:c r="J49" s="10"/>
      <x:c r="K49" s="10" t="str">
        <x:v>2026-09-11, 2026-09-12, 2026-09-14, 2026-09-25, 2026-09-26, 2026-10-01, 2026-10-10, 2026-10-11</x:v>
      </x:c>
      <x:c r="L49" s="10" t="str">
        <x:v>E035, E037, E061, E064, E086, E179, E180, E181, E212, E275, E276, E277, E279, E280</x:v>
      </x:c>
    </x:row>
    <x:row r="50" ht="60" customHeight="1">
      <x:c r="A50" s="10" t="str">
        <x:v>Wagley</x:v>
      </x:c>
      <x:c r="B50" s="11" t="str">
        <x:v>14590079</x:v>
      </x:c>
      <x:c r="C50" s="10" t="n">
        <x:f>COUNTIFS(Exchanges!$B$8:$B$371,A50,Exchanges!$J$8:$J$371,B50)</x:f>
        <x:v>5</x:v>
      </x:c>
      <x:c r="D50" s="10" t="n">
        <x:v>5</x:v>
      </x:c>
      <x:c r="E50" s="12" t="n">
        <x:v>46275</x:v>
      </x:c>
      <x:c r="F50" s="12" t="n">
        <x:v>46316</x:v>
      </x:c>
      <x:c r="G50" s="10" t="str">
        <x:v>Repeated across days</x:v>
      </x:c>
      <x:c r="H50" s="10"/>
      <x:c r="I50" s="10" t="str">
        <x:v>Jonathan Wagley</x:v>
      </x:c>
      <x:c r="J50" s="10"/>
      <x:c r="K50" s="10" t="str">
        <x:v>2026-09-10, 2026-09-23, 2026-09-28, 2026-10-08, 2026-10-21</x:v>
      </x:c>
      <x:c r="L50" s="10" t="str">
        <x:v>E008, E160, E201, E252, E338</x:v>
      </x:c>
    </x:row>
    <x:row r="51" ht="60" customHeight="1">
      <x:c r="A51" s="10" t="str">
        <x:v>Greg</x:v>
      </x:c>
      <x:c r="B51" s="11" t="str">
        <x:v>14590026</x:v>
      </x:c>
      <x:c r="C51" s="10" t="n">
        <x:f>COUNTIFS(Exchanges!$B$8:$B$371,A51,Exchanges!$J$8:$J$371,B51)</x:f>
        <x:v>1</x:v>
      </x:c>
      <x:c r="D51" s="10" t="n">
        <x:v>1</x:v>
      </x:c>
      <x:c r="E51" s="12" t="n">
        <x:v>46276</x:v>
      </x:c>
      <x:c r="F51" s="12" t="n">
        <x:v>46276</x:v>
      </x:c>
      <x:c r="G51" s="10" t="str">
        <x:v>Single-day candidate</x:v>
      </x:c>
      <x:c r="H51" s="10"/>
      <x:c r="I51" s="10" t="str">
        <x:v>Greg B. Mecham</x:v>
      </x:c>
      <x:c r="J51" s="10" t="str">
        <x:v>Brief uncertain hail; most other Greg replies use 14590098. Do not assume 14590026 is Greg on other days.</x:v>
      </x:c>
      <x:c r="K51" s="10" t="str">
        <x:v>2026-09-11</x:v>
      </x:c>
      <x:c r="L51" s="10" t="str">
        <x:v>E034</x:v>
      </x:c>
    </x:row>
    <x:row r="52" ht="60" customHeight="1">
      <x:c r="A52" s="10" t="str">
        <x:v>Heaton / Colby</x:v>
      </x:c>
      <x:c r="B52" s="11" t="str">
        <x:v>14590031</x:v>
      </x:c>
      <x:c r="C52" s="10" t="n">
        <x:f>COUNTIFS(Exchanges!$B$8:$B$371,A52,Exchanges!$J$8:$J$371,B52)</x:f>
        <x:v>1</x:v>
      </x:c>
      <x:c r="D52" s="10" t="n">
        <x:v>1</x:v>
      </x:c>
      <x:c r="E52" s="12" t="n">
        <x:v>46304</x:v>
      </x:c>
      <x:c r="F52" s="12" t="n">
        <x:v>46304</x:v>
      </x:c>
      <x:c r="G52" s="10" t="str">
        <x:v>Single-day candidate</x:v>
      </x:c>
      <x:c r="H52" s="10"/>
      <x:c r="I52" s="10" t="str">
        <x:v>Colby A. Heaton</x:v>
      </x:c>
      <x:c r="J52" s="10" t="str">
        <x:v>Includes both Heaton and Colby hails. 14590100 also answers Sam; 14590091 answers other names. Officer/crew assignment is unresolved.</x:v>
      </x:c>
      <x:c r="K52" s="10" t="str">
        <x:v>2026-10-09</x:v>
      </x:c>
      <x:c r="L52" s="10" t="str">
        <x:v>E260</x:v>
      </x:c>
    </x:row>
    <x:row r="53" ht="60" customHeight="1">
      <x:c r="A53" s="10" t="str">
        <x:v>Heaton / Colby</x:v>
      </x:c>
      <x:c r="B53" s="11" t="str">
        <x:v>14590101</x:v>
      </x:c>
      <x:c r="C53" s="10" t="n">
        <x:f>COUNTIFS(Exchanges!$B$8:$B$371,A53,Exchanges!$J$8:$J$371,B53)</x:f>
        <x:v>1</x:v>
      </x:c>
      <x:c r="D53" s="10" t="n">
        <x:v>1</x:v>
      </x:c>
      <x:c r="E53" s="12" t="n">
        <x:v>46277</x:v>
      </x:c>
      <x:c r="F53" s="12" t="n">
        <x:v>46277</x:v>
      </x:c>
      <x:c r="G53" s="10" t="str">
        <x:v>Single-day candidate</x:v>
      </x:c>
      <x:c r="H53" s="10"/>
      <x:c r="I53" s="10" t="str">
        <x:v>Colby A. Heaton</x:v>
      </x:c>
      <x:c r="J53" s="10" t="str">
        <x:v>Includes both Heaton and Colby hails. 14590100 also answers Sam; 14590091 answers other names. Officer/crew assignment is unresolved.</x:v>
      </x:c>
      <x:c r="K53" s="10" t="str">
        <x:v>2026-09-12</x:v>
      </x:c>
      <x:c r="L53" s="10" t="str">
        <x:v>E046</x:v>
      </x:c>
    </x:row>
    <x:row r="54" ht="60" customHeight="1">
      <x:c r="A54" s="10" t="str">
        <x:v>Jackie</x:v>
      </x:c>
      <x:c r="B54" s="11" t="str">
        <x:v>14590103</x:v>
      </x:c>
      <x:c r="C54" s="10" t="n">
        <x:f>COUNTIFS(Exchanges!$B$8:$B$371,A54,Exchanges!$J$8:$J$371,B54)</x:f>
        <x:v>1</x:v>
      </x:c>
      <x:c r="D54" s="10" t="n">
        <x:v>1</x:v>
      </x:c>
      <x:c r="E54" s="12" t="n">
        <x:v>46307</x:v>
      </x:c>
      <x:c r="F54" s="12" t="n">
        <x:v>46307</x:v>
      </x:c>
      <x:c r="G54" s="10" t="str">
        <x:v>Single-day candidate</x:v>
      </x:c>
      <x:c r="H54" s="10"/>
      <x:c r="I54" s="10" t="str">
        <x:v>Jaclyn G. Strong (candidate)</x:v>
      </x:c>
      <x:c r="J54" s="10" t="str">
        <x:v>Mostly 14590104 and 14590200; 14590103 has only one uncertain exchange. No roster identity assigned from the nickname alone.</x:v>
      </x:c>
      <x:c r="K54" s="10" t="str">
        <x:v>2026-10-12</x:v>
      </x:c>
      <x:c r="L54" s="10" t="str">
        <x:v>E297</x:v>
      </x:c>
    </x:row>
    <x:row r="55" ht="60" customHeight="1">
      <x:c r="A55" s="10" t="str">
        <x:v>Kitchen</x:v>
      </x:c>
      <x:c r="B55" s="11" t="str">
        <x:v>14590043</x:v>
      </x:c>
      <x:c r="C55" s="10" t="n">
        <x:f>COUNTIFS(Exchanges!$B$8:$B$371,A55,Exchanges!$J$8:$J$371,B55)</x:f>
        <x:v>1</x:v>
      </x:c>
      <x:c r="D55" s="10" t="n">
        <x:v>1</x:v>
      </x:c>
      <x:c r="E55" s="12" t="n">
        <x:v>46304</x:v>
      </x:c>
      <x:c r="F55" s="12" t="n">
        <x:v>46304</x:v>
      </x:c>
      <x:c r="G55" s="10" t="str">
        <x:v>Single-day candidate</x:v>
      </x:c>
      <x:c r="H55" s="10"/>
      <x:c r="I55" s="10" t="str">
        <x:v>Bronson T. Kitchen (candidate)</x:v>
      </x:c>
      <x:c r="J55" s="10" t="str">
        <x:v>Name is transcribed as [Jason / Kitchen]; audio review needed.</x:v>
      </x:c>
      <x:c r="K55" s="10" t="str">
        <x:v>2026-10-09</x:v>
      </x:c>
      <x:c r="L55" s="10" t="str">
        <x:v>E259</x:v>
      </x:c>
    </x:row>
    <x:row r="56" ht="60" customHeight="1">
      <x:c r="A56" s="10" t="str">
        <x:v>Laycock</x:v>
      </x:c>
      <x:c r="B56" s="11" t="str">
        <x:v>14590025</x:v>
      </x:c>
      <x:c r="C56" s="10" t="n">
        <x:f>COUNTIFS(Exchanges!$B$8:$B$371,A56,Exchanges!$J$8:$J$371,B56)</x:f>
        <x:v>1</x:v>
      </x:c>
      <x:c r="D56" s="10" t="n">
        <x:v>1</x:v>
      </x:c>
      <x:c r="E56" s="12" t="n">
        <x:v>46287</x:v>
      </x:c>
      <x:c r="F56" s="12" t="n">
        <x:v>46287</x:v>
      </x:c>
      <x:c r="G56" s="10" t="str">
        <x:v>Conflicting names on ID</x:v>
      </x:c>
      <x:c r="H56" s="10" t="str">
        <x:v>Jake</x:v>
      </x:c>
      <x:c r="I56" s="10" t="str">
        <x:v>Jake D. Laycock</x:v>
      </x:c>
      <x:c r="J56" s="10" t="str">
        <x:v>Surname hail is marked uncertain in the transcript. This supports a Laycock candidate for 14590025, not for every ID answering Jake.</x:v>
      </x:c>
      <x:c r="K56" s="10" t="str">
        <x:v>2026-09-22</x:v>
      </x:c>
      <x:c r="L56" s="10" t="str">
        <x:v>E143</x:v>
      </x:c>
    </x:row>
    <x:row r="57" ht="60" customHeight="1">
      <x:c r="A57" s="10" t="str">
        <x:v>Murray</x:v>
      </x:c>
      <x:c r="B57" s="11" t="str">
        <x:v>14590266</x:v>
      </x:c>
      <x:c r="C57" s="10" t="n">
        <x:f>COUNTIFS(Exchanges!$B$8:$B$371,A57,Exchanges!$J$8:$J$371,B57)</x:f>
        <x:v>2</x:v>
      </x:c>
      <x:c r="D57" s="10" t="n">
        <x:v>1</x:v>
      </x:c>
      <x:c r="E57" s="12" t="n">
        <x:v>46298</x:v>
      </x:c>
      <x:c r="F57" s="12" t="n">
        <x:v>46298</x:v>
      </x:c>
      <x:c r="G57" s="10" t="str">
        <x:v>Single-day candidate</x:v>
      </x:c>
      <x:c r="H57" s="10"/>
      <x:c r="I57" s="10" t="str">
        <x:v>Austin W. Murray</x:v>
      </x:c>
      <x:c r="J57" s="10"/>
      <x:c r="K57" s="10" t="str">
        <x:v>2026-10-03</x:v>
      </x:c>
      <x:c r="L57" s="10" t="str">
        <x:v>E228, E229</x:v>
      </x:c>
    </x:row>
    <x:row r="58" ht="60" customHeight="1">
      <x:c r="A58" s="10" t="str">
        <x:v>Renter</x:v>
      </x:c>
      <x:c r="B58" s="11" t="str">
        <x:v>14590219</x:v>
      </x:c>
      <x:c r="C58" s="10" t="n">
        <x:f>COUNTIFS(Exchanges!$B$8:$B$371,A58,Exchanges!$J$8:$J$371,B58)</x:f>
        <x:v>2</x:v>
      </x:c>
      <x:c r="D58" s="10" t="n">
        <x:v>1</x:v>
      </x:c>
      <x:c r="E58" s="12" t="n">
        <x:v>46306</x:v>
      </x:c>
      <x:c r="F58" s="12" t="n">
        <x:v>46306</x:v>
      </x:c>
      <x:c r="G58" s="10" t="str">
        <x:v>Single-day candidate</x:v>
      </x:c>
      <x:c r="H58" s="10"/>
      <x:c r="I58" s="10" t="str">
        <x:v>Dustin R. Renter</x:v>
      </x:c>
      <x:c r="J58" s="10"/>
      <x:c r="K58" s="10" t="str">
        <x:v>2026-10-11</x:v>
      </x:c>
      <x:c r="L58" s="10" t="str">
        <x:v>E284, E285</x:v>
      </x:c>
    </x:row>
    <x:row r="59" ht="60" customHeight="1">
      <x:c r="A59" s="10" t="str">
        <x:v>Tyler</x:v>
      </x:c>
      <x:c r="B59" s="11" t="str">
        <x:v>14590085</x:v>
      </x:c>
      <x:c r="C59" s="10" t="n">
        <x:f>COUNTIFS(Exchanges!$B$8:$B$371,A59,Exchanges!$J$8:$J$371,B59)</x:f>
        <x:v>1</x:v>
      </x:c>
      <x:c r="D59" s="10" t="n">
        <x:v>1</x:v>
      </x:c>
      <x:c r="E59" s="12" t="n">
        <x:v>46302</x:v>
      </x:c>
      <x:c r="F59" s="12" t="n">
        <x:v>46302</x:v>
      </x:c>
      <x:c r="G59" s="10" t="str">
        <x:v>Single-day candidate</x:v>
      </x:c>
      <x:c r="H59" s="10"/>
      <x:c r="I59" s="10" t="str">
        <x:v>Unresolved</x:v>
      </x:c>
      <x:c r="J59" s="10" t="str">
        <x:v>Spoken name Tyler; no full-name identity assigned. Do not equate this with Tayler Somerville.</x:v>
      </x:c>
      <x:c r="K59" s="10" t="str">
        <x:v>2026-10-07</x:v>
      </x:c>
      <x:c r="L59" s="10" t="str">
        <x:v>E249</x:v>
      </x:c>
    </x:row>
    <x:row r="60" ht="60" customHeight="1">
      <x:c r="A60" s="10" t="str">
        <x:v>Valadez</x:v>
      </x:c>
      <x:c r="B60" s="11" t="str">
        <x:v>14590126</x:v>
      </x:c>
      <x:c r="C60" s="10" t="n">
        <x:f>COUNTIFS(Exchanges!$B$8:$B$371,A60,Exchanges!$J$8:$J$371,B60)</x:f>
        <x:v>1</x:v>
      </x:c>
      <x:c r="D60" s="10" t="n">
        <x:v>1</x:v>
      </x:c>
      <x:c r="E60" s="12" t="n">
        <x:v>46280</x:v>
      </x:c>
      <x:c r="F60" s="12" t="n">
        <x:v>46280</x:v>
      </x:c>
      <x:c r="G60" s="10" t="str">
        <x:v>Conflicting names on ID</x:v>
      </x:c>
      <x:c r="H60" s="10" t="str">
        <x:v>Phil</x:v>
      </x:c>
      <x:c r="I60" s="10" t="str">
        <x:v>Mckay or Philip Valadez</x:v>
      </x:c>
      <x:c r="J60" s="10" t="str">
        <x:v>Surname is uncertain in transcript. Do not use this one exchange to prove which Valadez is speaking.</x:v>
      </x:c>
      <x:c r="K60" s="10" t="str">
        <x:v>2026-09-15</x:v>
      </x:c>
      <x:c r="L60" s="10" t="str">
        <x:v>E093</x:v>
      </x:c>
    </x:row>
    <x:row r="61" ht="60" customHeight="1">
      <x:c r="A61" s="10" t="str">
        <x:v>Colton</x:v>
      </x:c>
      <x:c r="B61" s="11" t="str">
        <x:v>14590091</x:v>
      </x:c>
      <x:c r="C61" s="10" t="n">
        <x:f>COUNTIFS(Exchanges!$B$8:$B$371,A61,Exchanges!$J$8:$J$371,B61)</x:f>
        <x:v>1</x:v>
      </x:c>
      <x:c r="D61" s="10" t="n">
        <x:v>1</x:v>
      </x:c>
      <x:c r="E61" s="12" t="n">
        <x:v>46300</x:v>
      </x:c>
      <x:c r="F61" s="12" t="n">
        <x:v>46300</x:v>
      </x:c>
      <x:c r="G61" s="10" t="str">
        <x:v>Conflicting names on ID</x:v>
      </x:c>
      <x:c r="H61" s="10" t="str">
        <x:v>Ethan, Heaton / Colby</x:v>
      </x:c>
      <x:c r="I61" s="10" t="str">
        <x:v>Multiple candidates</x:v>
      </x:c>
      <x:c r="J61" s="10" t="str">
        <x:v>14590091 also answers Heaton/Colby and Ethan. Could be transcript error, shared radio, or a different responder.</x:v>
      </x:c>
      <x:c r="K61" s="10" t="str">
        <x:v>2026-10-05</x:v>
      </x:c>
      <x:c r="L61" s="10" t="str">
        <x:v>E243</x:v>
      </x:c>
    </x:row>
    <x:row r="62" ht="60" customHeight="1">
      <x:c r="A62" s="10" t="str">
        <x:v>Ethan</x:v>
      </x:c>
      <x:c r="B62" s="11" t="str">
        <x:v>14590091</x:v>
      </x:c>
      <x:c r="C62" s="10" t="n">
        <x:f>COUNTIFS(Exchanges!$B$8:$B$371,A62,Exchanges!$J$8:$J$371,B62)</x:f>
        <x:v>2</x:v>
      </x:c>
      <x:c r="D62" s="10" t="n">
        <x:v>1</x:v>
      </x:c>
      <x:c r="E62" s="12" t="n">
        <x:v>46292</x:v>
      </x:c>
      <x:c r="F62" s="12" t="n">
        <x:v>46292</x:v>
      </x:c>
      <x:c r="G62" s="10" t="str">
        <x:v>Conflicting names on ID</x:v>
      </x:c>
      <x:c r="H62" s="10" t="str">
        <x:v>Colton, Heaton / Colby</x:v>
      </x:c>
      <x:c r="I62" s="10" t="str">
        <x:v>Ethan C. Simmons</x:v>
      </x:c>
      <x:c r="J62" s="10" t="str">
        <x:v>14590091 also answers Heaton/Colby and Colton; 14590225 also answers Josh. Response adjacency may identify a crew or a different responder.</x:v>
      </x:c>
      <x:c r="K62" s="10" t="str">
        <x:v>2026-09-27</x:v>
      </x:c>
      <x:c r="L62" s="10" t="str">
        <x:v>E197, E198</x:v>
      </x:c>
    </x:row>
    <x:row r="63" ht="60" customHeight="1">
      <x:c r="A63" s="10" t="str">
        <x:v>Ethan</x:v>
      </x:c>
      <x:c r="B63" s="11" t="str">
        <x:v>14590225</x:v>
      </x:c>
      <x:c r="C63" s="10" t="n">
        <x:f>COUNTIFS(Exchanges!$B$8:$B$371,A63,Exchanges!$J$8:$J$371,B63)</x:f>
        <x:v>1</x:v>
      </x:c>
      <x:c r="D63" s="10" t="n">
        <x:v>1</x:v>
      </x:c>
      <x:c r="E63" s="12" t="n">
        <x:v>46310</x:v>
      </x:c>
      <x:c r="F63" s="12" t="n">
        <x:v>46310</x:v>
      </x:c>
      <x:c r="G63" s="10" t="str">
        <x:v>Conflicting names on ID</x:v>
      </x:c>
      <x:c r="H63" s="10" t="str">
        <x:v>Jensen / Josh</x:v>
      </x:c>
      <x:c r="I63" s="10" t="str">
        <x:v>Ethan C. Simmons</x:v>
      </x:c>
      <x:c r="J63" s="10" t="str">
        <x:v>14590091 also answers Heaton/Colby and Colton; 14590225 also answers Josh. Response adjacency may identify a crew or a different responder.</x:v>
      </x:c>
      <x:c r="K63" s="10" t="str">
        <x:v>2026-10-15</x:v>
      </x:c>
      <x:c r="L63" s="10" t="str">
        <x:v>E311</x:v>
      </x:c>
    </x:row>
    <x:row r="64" ht="60" customHeight="1">
      <x:c r="A64" s="10" t="str">
        <x:v>Hawkins</x:v>
      </x:c>
      <x:c r="B64" s="11" t="str">
        <x:v>14590036</x:v>
      </x:c>
      <x:c r="C64" s="10" t="n">
        <x:f>COUNTIFS(Exchanges!$B$8:$B$371,A64,Exchanges!$J$8:$J$371,B64)</x:f>
        <x:v>4</x:v>
      </x:c>
      <x:c r="D64" s="10" t="n">
        <x:v>3</x:v>
      </x:c>
      <x:c r="E64" s="12" t="n">
        <x:v>46276</x:v>
      </x:c>
      <x:c r="F64" s="12" t="n">
        <x:v>46310</x:v>
      </x:c>
      <x:c r="G64" s="10" t="str">
        <x:v>Conflicting names on ID</x:v>
      </x:c>
      <x:c r="H64" s="10" t="str">
        <x:v>Mitch</x:v>
      </x:c>
      <x:c r="I64" s="10" t="str">
        <x:v>Steven G. Hawkins</x:v>
      </x:c>
      <x:c r="J64" s="10" t="str">
        <x:v>14590036 also answers hails to Mitch. Keep this as an exchange-level association.</x:v>
      </x:c>
      <x:c r="K64" s="10" t="str">
        <x:v>2026-09-11, 2026-09-12, 2026-10-15</x:v>
      </x:c>
      <x:c r="L64" s="10" t="str">
        <x:v>E026, E068, E070, E317</x:v>
      </x:c>
    </x:row>
    <x:row r="65" ht="60" customHeight="1">
      <x:c r="A65" s="10" t="str">
        <x:v>Heaton / Colby</x:v>
      </x:c>
      <x:c r="B65" s="11" t="str">
        <x:v>14590091</x:v>
      </x:c>
      <x:c r="C65" s="10" t="n">
        <x:f>COUNTIFS(Exchanges!$B$8:$B$371,A65,Exchanges!$J$8:$J$371,B65)</x:f>
        <x:v>2</x:v>
      </x:c>
      <x:c r="D65" s="10" t="n">
        <x:v>1</x:v>
      </x:c>
      <x:c r="E65" s="12" t="n">
        <x:v>46290</x:v>
      </x:c>
      <x:c r="F65" s="12" t="n">
        <x:v>46290</x:v>
      </x:c>
      <x:c r="G65" s="10" t="str">
        <x:v>Conflicting names on ID</x:v>
      </x:c>
      <x:c r="H65" s="10" t="str">
        <x:v>Colton, Ethan</x:v>
      </x:c>
      <x:c r="I65" s="10" t="str">
        <x:v>Colby A. Heaton</x:v>
      </x:c>
      <x:c r="J65" s="10" t="str">
        <x:v>Includes both Heaton and Colby hails. 14590100 also answers Sam; 14590091 answers other names. Officer/crew assignment is unresolved.</x:v>
      </x:c>
      <x:c r="K65" s="10" t="str">
        <x:v>2026-09-25</x:v>
      </x:c>
      <x:c r="L65" s="10" t="str">
        <x:v>E173, E175</x:v>
      </x:c>
    </x:row>
    <x:row r="66" ht="60" customHeight="1">
      <x:c r="A66" s="10" t="str">
        <x:v>Heaton / Colby</x:v>
      </x:c>
      <x:c r="B66" s="11" t="str">
        <x:v>14590100</x:v>
      </x:c>
      <x:c r="C66" s="10" t="n">
        <x:f>COUNTIFS(Exchanges!$B$8:$B$371,A66,Exchanges!$J$8:$J$371,B66)</x:f>
        <x:v>3</x:v>
      </x:c>
      <x:c r="D66" s="10" t="n">
        <x:v>2</x:v>
      </x:c>
      <x:c r="E66" s="12" t="n">
        <x:v>46309</x:v>
      </x:c>
      <x:c r="F66" s="12" t="n">
        <x:v>46315</x:v>
      </x:c>
      <x:c r="G66" s="10" t="str">
        <x:v>Conflicting names on ID</x:v>
      </x:c>
      <x:c r="H66" s="10" t="str">
        <x:v>Sam</x:v>
      </x:c>
      <x:c r="I66" s="10" t="str">
        <x:v>Colby A. Heaton</x:v>
      </x:c>
      <x:c r="J66" s="10" t="str">
        <x:v>Includes both Heaton and Colby hails. 14590100 also answers Sam; 14590091 answers other names. Officer/crew assignment is unresolved.</x:v>
      </x:c>
      <x:c r="K66" s="10" t="str">
        <x:v>2026-10-14, 2026-10-20</x:v>
      </x:c>
      <x:c r="L66" s="10" t="str">
        <x:v>E301, E329, E331</x:v>
      </x:c>
    </x:row>
    <x:row r="67" ht="60" customHeight="1">
      <x:c r="A67" s="10" t="str">
        <x:v>Jensen / Josh</x:v>
      </x:c>
      <x:c r="B67" s="11" t="str">
        <x:v>14590225</x:v>
      </x:c>
      <x:c r="C67" s="10" t="n">
        <x:f>COUNTIFS(Exchanges!$B$8:$B$371,A67,Exchanges!$J$8:$J$371,B67)</x:f>
        <x:v>1</x:v>
      </x:c>
      <x:c r="D67" s="10" t="n">
        <x:v>1</x:v>
      </x:c>
      <x:c r="E67" s="12" t="n">
        <x:v>46300</x:v>
      </x:c>
      <x:c r="F67" s="12" t="n">
        <x:v>46300</x:v>
      </x:c>
      <x:c r="G67" s="10" t="str">
        <x:v>Conflicting names on ID</x:v>
      </x:c>
      <x:c r="H67" s="10" t="str">
        <x:v>Ethan</x:v>
      </x:c>
      <x:c r="I67" s="10" t="str">
        <x:v>Joshua M. Jensen (candidate)</x:v>
      </x:c>
      <x:c r="J67" s="10" t="str">
        <x:v>Both Jensen and Josh are represented; Joshua Jensen is a candidate. First-name replies alone do not rule out other Joshuas.</x:v>
      </x:c>
      <x:c r="K67" s="10" t="str">
        <x:v>2026-10-05</x:v>
      </x:c>
      <x:c r="L67" s="10" t="str">
        <x:v>E237</x:v>
      </x:c>
    </x:row>
    <x:row r="68" ht="60" customHeight="1">
      <x:c r="A68" s="10" t="str">
        <x:v>Luke</x:v>
      </x:c>
      <x:c r="B68" s="11" t="str">
        <x:v>14590221</x:v>
      </x:c>
      <x:c r="C68" s="10" t="n">
        <x:f>COUNTIFS(Exchanges!$B$8:$B$371,A68,Exchanges!$J$8:$J$371,B68)</x:f>
        <x:v>1</x:v>
      </x:c>
      <x:c r="D68" s="10" t="n">
        <x:v>1</x:v>
      </x:c>
      <x:c r="E68" s="12" t="n">
        <x:v>46316</x:v>
      </x:c>
      <x:c r="F68" s="12" t="n">
        <x:v>46316</x:v>
      </x:c>
      <x:c r="G68" s="10" t="str">
        <x:v>Conflicting names on ID</x:v>
      </x:c>
      <x:c r="H68" s="10" t="str">
        <x:v>Sam</x:v>
      </x:c>
      <x:c r="I68" s="10" t="str">
        <x:v>Luke A. Sumbot</x:v>
      </x:c>
      <x:c r="J68" s="10" t="str">
        <x:v>14590221 also answers hails to Sam. This short reply does not establish that the transmitter is Luke.</x:v>
      </x:c>
      <x:c r="K68" s="10" t="str">
        <x:v>2026-10-21</x:v>
      </x:c>
      <x:c r="L68" s="10" t="str">
        <x:v>E334</x:v>
      </x:c>
    </x:row>
    <x:row r="69" ht="60" customHeight="1">
      <x:c r="A69" s="10" t="str">
        <x:v>McClellan / Dennis</x:v>
      </x:c>
      <x:c r="B69" s="11" t="str">
        <x:v>14590019</x:v>
      </x:c>
      <x:c r="C69" s="10" t="n">
        <x:f>COUNTIFS(Exchanges!$B$8:$B$371,A69,Exchanges!$J$8:$J$371,B69)</x:f>
        <x:v>3</x:v>
      </x:c>
      <x:c r="D69" s="10" t="n">
        <x:v>3</x:v>
      </x:c>
      <x:c r="E69" s="12" t="n">
        <x:v>46294</x:v>
      </x:c>
      <x:c r="F69" s="12" t="n">
        <x:v>46298</x:v>
      </x:c>
      <x:c r="G69" s="10" t="str">
        <x:v>Conflicting names on ID</x:v>
      </x:c>
      <x:c r="H69" s="10" t="str">
        <x:v>Wagley</x:v>
      </x:c>
      <x:c r="I69" s="10" t="str">
        <x:v>Dennis R. McClellan</x:v>
      </x:c>
      <x:c r="J69" s="10"/>
      <x:c r="K69" s="10" t="str">
        <x:v>2026-09-29, 2026-10-02, 2026-10-03</x:v>
      </x:c>
      <x:c r="L69" s="10" t="str">
        <x:v>E208, E221, E226</x:v>
      </x:c>
    </x:row>
    <x:row r="70" ht="60" customHeight="1">
      <x:c r="A70" s="10" t="str">
        <x:v>Mitch</x:v>
      </x:c>
      <x:c r="B70" s="11" t="str">
        <x:v>14590036</x:v>
      </x:c>
      <x:c r="C70" s="10" t="n">
        <x:f>COUNTIFS(Exchanges!$B$8:$B$371,A70,Exchanges!$J$8:$J$371,B70)</x:f>
        <x:v>3</x:v>
      </x:c>
      <x:c r="D70" s="10" t="n">
        <x:v>2</x:v>
      </x:c>
      <x:c r="E70" s="12" t="n">
        <x:v>46281</x:v>
      </x:c>
      <x:c r="F70" s="12" t="n">
        <x:v>46310</x:v>
      </x:c>
      <x:c r="G70" s="10" t="str">
        <x:v>Conflicting names on ID</x:v>
      </x:c>
      <x:c r="H70" s="10" t="str">
        <x:v>Hawkins</x:v>
      </x:c>
      <x:c r="I70" s="10" t="str">
        <x:v>Mitchell R. Godfrey (candidate)</x:v>
      </x:c>
      <x:c r="J70" s="10" t="str">
        <x:v>14590036 also answers Hawkins. Keep 14590344 separate from 14590036 pending audio and assignment confirmation.</x:v>
      </x:c>
      <x:c r="K70" s="10" t="str">
        <x:v>2026-09-16, 2026-10-15</x:v>
      </x:c>
      <x:c r="L70" s="10" t="str">
        <x:v>E110, E313, E316</x:v>
      </x:c>
    </x:row>
    <x:row r="71" ht="60" customHeight="1">
      <x:c r="A71" s="10" t="str">
        <x:v>Sam</x:v>
      </x:c>
      <x:c r="B71" s="11" t="str">
        <x:v>14590221</x:v>
      </x:c>
      <x:c r="C71" s="10" t="n">
        <x:f>COUNTIFS(Exchanges!$B$8:$B$371,A71,Exchanges!$J$8:$J$371,B71)</x:f>
        <x:v>3</x:v>
      </x:c>
      <x:c r="D71" s="10" t="n">
        <x:v>3</x:v>
      </x:c>
      <x:c r="E71" s="12" t="n">
        <x:v>46285</x:v>
      </x:c>
      <x:c r="F71" s="12" t="n">
        <x:v>46312</x:v>
      </x:c>
      <x:c r="G71" s="10" t="str">
        <x:v>Conflicting names on ID</x:v>
      </x:c>
      <x:c r="H71" s="10" t="str">
        <x:v>Luke</x:v>
      </x:c>
      <x:c r="I71" s="10" t="str">
        <x:v>Multiple candidates</x:v>
      </x:c>
      <x:c r="J71" s="10" t="str">
        <x:v>Several officers use Sam or Samuel. Do not combine these IDs into one officer identity.</x:v>
      </x:c>
      <x:c r="K71" s="10" t="str">
        <x:v>2026-09-20, 2026-10-13, 2026-10-17</x:v>
      </x:c>
      <x:c r="L71" s="10" t="str">
        <x:v>E134, E298, E324</x:v>
      </x:c>
    </x:row>
    <x:row r="72" ht="60" customHeight="1">
      <x:c r="A72" s="10" t="str">
        <x:v>Wagley</x:v>
      </x:c>
      <x:c r="B72" s="11" t="str">
        <x:v>14590019</x:v>
      </x:c>
      <x:c r="C72" s="10" t="n">
        <x:f>COUNTIFS(Exchanges!$B$8:$B$371,A72,Exchanges!$J$8:$J$371,B72)</x:f>
        <x:v>5</x:v>
      </x:c>
      <x:c r="D72" s="10" t="n">
        <x:v>3</x:v>
      </x:c>
      <x:c r="E72" s="12" t="n">
        <x:v>46275</x:v>
      </x:c>
      <x:c r="F72" s="12" t="n">
        <x:v>46288</x:v>
      </x:c>
      <x:c r="G72" s="10" t="str">
        <x:v>Conflicting names on ID</x:v>
      </x:c>
      <x:c r="H72" s="10" t="str">
        <x:v>McClellan / Dennis</x:v>
      </x:c>
      <x:c r="I72" s="10" t="str">
        <x:v>Jonathan Wagley</x:v>
      </x:c>
      <x:c r="J72" s="10"/>
      <x:c r="K72" s="10" t="str">
        <x:v>2026-09-10, 2026-09-19, 2026-09-23</x:v>
      </x:c>
      <x:c r="L72" s="10" t="str">
        <x:v>E003, E006, E007, E129, E159</x:v>
      </x:c>
    </x:row>
    <x:row r="73" ht="60" customHeight="1">
      <x:c r="A73" s="10" t="str">
        <x:v>Makai / Kelepi</x:v>
      </x:c>
      <x:c r="B73" s="11" t="str">
        <x:v>14590247</x:v>
      </x:c>
      <x:c r="C73" s="10" t="n">
        <x:f>COUNTIFS(Exchanges!$B$8:$B$371,A73,Exchanges!$J$8:$J$371,B73)</x:f>
        <x:v>5</x:v>
      </x:c>
      <x:c r="D73" s="10" t="n">
        <x:v>5</x:v>
      </x:c>
      <x:c r="E73" s="12" t="n">
        <x:v>46277</x:v>
      </x:c>
      <x:c r="F73" s="12" t="n">
        <x:v>46296</x:v>
      </x:c>
      <x:c r="G73" s="10" t="str">
        <x:v>Repeated across days</x:v>
      </x:c>
      <x:c r="H73" s="10"/>
      <x:c r="I73" s="10" t="str">
        <x:v>Kelepi Makai</x:v>
      </x:c>
      <x:c r="J73" s="10" t="str">
        <x:v>Owner confirmed Makai spelling. Five response days; October 1 reply is unclear. These examples support an association, not permanent radio ownership.</x:v>
      </x:c>
      <x:c r="K73" s="10" t="str">
        <x:v>2026-09-12, 2026-09-17, 2026-09-25, 2026-09-26, 2026-10-01</x:v>
      </x:c>
      <x:c r="L73" s="10" t="str">
        <x:v>E117, E177, E355, E356, E357</x:v>
      </x:c>
    </x:row>
    <x:row r="74">
      <x:c r="A74" s="10" t="str">
        <x:v>Wagley</x:v>
      </x:c>
      <x:c r="B74" s="11" t="str">
        <x:v>14590112</x:v>
      </x:c>
      <x:c r="C74" s="10" t="n">
        <x:f>COUNTIFS(Exchanges!$B$8:$B$371,A74,Exchanges!$J$8:$J$371,B74)</x:f>
        <x:v>2</x:v>
      </x:c>
      <x:c r="D74" s="10" t="n">
        <x:v>1</x:v>
      </x:c>
      <x:c r="E74" s="12" t="n">
        <x:v>46317</x:v>
      </x:c>
      <x:c r="F74" s="12" t="n">
        <x:v>46317</x:v>
      </x:c>
      <x:c r="G74" s="10" t="str">
        <x:v>Single-day candidate</x:v>
      </x:c>
      <x:c r="H74" s="10"/>
      <x:c r="I74" s="10" t="str">
        <x:v>Jonathan Wagley (candidate)</x:v>
      </x:c>
      <x:c r="J74" s="10" t="str">
        <x:v>October 22 adds a different responding ID. Do not assume a permanent assignment.</x:v>
      </x:c>
      <x:c r="K74" s="10" t="str">
        <x:v>2026-10-22</x:v>
      </x:c>
      <x:c r="L74" s="10" t="str">
        <x:v>E340, E341</x:v>
      </x:c>
    </x:row>
    <x:row r="75">
      <x:c r="A75" s="10" t="str">
        <x:v>Manis</x:v>
      </x:c>
      <x:c r="B75" s="11" t="str">
        <x:v>14590027</x:v>
      </x:c>
      <x:c r="C75" s="10" t="n">
        <x:f>COUNTIFS(Exchanges!$B$8:$B$371,A75,Exchanges!$J$8:$J$371,B75)</x:f>
        <x:v>1</x:v>
      </x:c>
      <x:c r="D75" s="10" t="n">
        <x:v>1</x:v>
      </x:c>
      <x:c r="E75" s="12" t="n">
        <x:v>46317</x:v>
      </x:c>
      <x:c r="F75" s="12" t="n">
        <x:v>46317</x:v>
      </x:c>
      <x:c r="G75" s="10" t="str">
        <x:v>Conflicting names on ID</x:v>
      </x:c>
      <x:c r="H75" s="10" t="str">
        <x:v>Neil (unclear)</x:v>
      </x:c>
      <x:c r="I75" s="10" t="str">
        <x:v>Dustin K. Manis (candidate)</x:v>
      </x:c>
      <x:c r="J75" s="10" t="str">
        <x:v>Contextual response to Manis hail; no explicit self-identification.</x:v>
      </x:c>
      <x:c r="K75" s="10" t="str">
        <x:v>2026-10-22</x:v>
      </x:c>
      <x:c r="L75" s="10" t="str">
        <x:v>E343</x:v>
      </x:c>
    </x:row>
    <x:row r="76">
      <x:c r="A76" s="10" t="str">
        <x:v>Neil (unclear)</x:v>
      </x:c>
      <x:c r="B76" s="11" t="str">
        <x:v>14590027</x:v>
      </x:c>
      <x:c r="C76" s="10" t="n">
        <x:f>COUNTIFS(Exchanges!$B$8:$B$371,A76,Exchanges!$J$8:$J$371,B76)</x:f>
        <x:v>3</x:v>
      </x:c>
      <x:c r="D76" s="10" t="n">
        <x:v>1</x:v>
      </x:c>
      <x:c r="E76" s="12" t="n">
        <x:v>46317</x:v>
      </x:c>
      <x:c r="F76" s="12" t="n">
        <x:v>46317</x:v>
      </x:c>
      <x:c r="G76" s="10" t="str">
        <x:v>Conflicting names on ID</x:v>
      </x:c>
      <x:c r="H76" s="10" t="str">
        <x:v>Manis</x:v>
      </x:c>
      <x:c r="I76" s="10" t="str">
        <x:v>Unresolved</x:v>
      </x:c>
      <x:c r="J76" s="10" t="str">
        <x:v>Uncertain name or nickname. Kept separate from similar names pending audio review.</x:v>
      </x:c>
      <x:c r="K76" s="10" t="str">
        <x:v>2026-10-22</x:v>
      </x:c>
      <x:c r="L76" s="10" t="str">
        <x:v>E344, E346, E347</x:v>
      </x:c>
    </x:row>
    <x:row r="77">
      <x:c r="A77" s="10" t="str">
        <x:v>Neil (unclear)</x:v>
      </x:c>
      <x:c r="B77" s="11" t="str">
        <x:v>14590097</x:v>
      </x:c>
      <x:c r="C77" s="10" t="n">
        <x:f>COUNTIFS(Exchanges!$B$8:$B$371,A77,Exchanges!$J$8:$J$371,B77)</x:f>
        <x:v>1</x:v>
      </x:c>
      <x:c r="D77" s="10" t="n">
        <x:v>1</x:v>
      </x:c>
      <x:c r="E77" s="12" t="n">
        <x:v>46317</x:v>
      </x:c>
      <x:c r="F77" s="12" t="n">
        <x:v>46317</x:v>
      </x:c>
      <x:c r="G77" s="10" t="str">
        <x:v>Single-day candidate</x:v>
      </x:c>
      <x:c r="H77" s="10"/>
      <x:c r="I77" s="10" t="str">
        <x:v>Unresolved</x:v>
      </x:c>
      <x:c r="J77" s="10" t="str">
        <x:v>Uncertain name or nickname. Kept separate from similar names pending audio review.</x:v>
      </x:c>
      <x:c r="K77" s="10" t="str">
        <x:v>2026-10-22</x:v>
      </x:c>
      <x:c r="L77" s="10" t="str">
        <x:v>E345</x:v>
      </x:c>
    </x:row>
    <x:row r="78" ht="34" customHeight="1">
      <x:c r="A78" s="10" t="str">
        <x:v>Tanner / T-Ball / G-Ball</x:v>
      </x:c>
      <x:c r="B78" s="11" t="str">
        <x:v>14580151</x:v>
      </x:c>
      <x:c r="C78" s="10" t="n">
        <x:f>COUNTIFS(Exchanges!$B$8:$B$371,A78,Exchanges!$J$8:$J$371,B78)</x:f>
        <x:v>10</x:v>
      </x:c>
      <x:c r="D78" s="10" t="n">
        <x:v>4</x:v>
      </x:c>
      <x:c r="E78" s="12" t="n">
        <x:v>46284</x:v>
      </x:c>
      <x:c r="F78" s="12" t="n">
        <x:v>46317</x:v>
      </x:c>
      <x:c r="G78" s="10" t="str">
        <x:v>Repeated across days</x:v>
      </x:c>
      <x:c r="H78" s="10"/>
      <x:c r="I78" s="10" t="str">
        <x:v>Tanner M. Ballamis</x:v>
      </x:c>
      <x:c r="J78" s="10" t="str">
        <x:v>Owner identifies Tanner, T-Ball and G-Ball as Tanner Ballamis. ID association, not permanent ownership.</x:v>
      </x:c>
      <x:c r="K78" s="10" t="str">
        <x:v>2026-09-19, 2026-10-03, 2026-10-21, 2026-10-22</x:v>
      </x:c>
      <x:c r="L78" s="10" t="str">
        <x:v>E349, E350, E353, E358, E359, E360, E361, E362, E363, E364</x:v>
      </x:c>
    </x:row>
    <x:row r="79">
      <x:c r="A79" s="10" t="str">
        <x:v>Peter (unclear)</x:v>
      </x:c>
      <x:c r="B79" s="11" t="str">
        <x:v>14590114</x:v>
      </x:c>
      <x:c r="C79" s="10" t="n">
        <x:f>COUNTIFS(Exchanges!$B$8:$B$371,A79,Exchanges!$J$8:$J$371,B79)</x:f>
        <x:v>1</x:v>
      </x:c>
      <x:c r="D79" s="10" t="n">
        <x:v>1</x:v>
      </x:c>
      <x:c r="E79" s="12" t="n">
        <x:v>46317</x:v>
      </x:c>
      <x:c r="F79" s="12" t="n">
        <x:v>46317</x:v>
      </x:c>
      <x:c r="G79" s="10" t="str">
        <x:v>Conflicting names on ID</x:v>
      </x:c>
      <x:c r="H79" s="10" t="str">
        <x:v>Pat (unclear), Pitt</x:v>
      </x:c>
      <x:c r="I79" s="10" t="str">
        <x:v>Unresolved</x:v>
      </x:c>
      <x:c r="J79" s="10" t="str">
        <x:v>Uncertain name or nickname. Kept separate from similar names pending audio review.</x:v>
      </x:c>
      <x:c r="K79" s="10" t="str">
        <x:v>2026-10-22</x:v>
      </x:c>
      <x:c r="L79" s="10" t="str">
        <x:v>E352</x:v>
      </x:c>
    </x:row>
    <x:row r="80">
      <x:c r="A80" s="10" t="str">
        <x:v>Pat (unclear)</x:v>
      </x:c>
      <x:c r="B80" s="11" t="str">
        <x:v>14590114</x:v>
      </x:c>
      <x:c r="C80" s="10" t="n">
        <x:f>COUNTIFS(Exchanges!$B$8:$B$371,A80,Exchanges!$J$8:$J$371,B80)</x:f>
        <x:v>1</x:v>
      </x:c>
      <x:c r="D80" s="10" t="n">
        <x:v>1</x:v>
      </x:c>
      <x:c r="E80" s="12" t="n">
        <x:v>46317</x:v>
      </x:c>
      <x:c r="F80" s="12" t="n">
        <x:v>46317</x:v>
      </x:c>
      <x:c r="G80" s="10" t="str">
        <x:v>Conflicting names on ID</x:v>
      </x:c>
      <x:c r="H80" s="10" t="str">
        <x:v>Peter (unclear), Pitt</x:v>
      </x:c>
      <x:c r="I80" s="10" t="str">
        <x:v>Unresolved</x:v>
      </x:c>
      <x:c r="J80" s="10" t="str">
        <x:v>Uncertain name or nickname. Kept separate from similar names pending audio review.</x:v>
      </x:c>
      <x:c r="K80" s="10" t="str">
        <x:v>2026-10-22</x:v>
      </x:c>
      <x:c r="L80" s="10" t="str">
        <x:v>E354</x:v>
      </x:c>
    </x:row>
    <x:row r="81">
      <x:c r="A81" s="10"/>
      <x:c r="B81" s="11"/>
      <x:c r="C81" s="10"/>
      <x:c r="D81" s="10"/>
      <x:c r="E81" s="12"/>
      <x:c r="F81" s="12"/>
      <x:c r="G81" s="10"/>
      <x:c r="H81" s="10"/>
      <x:c r="I81" s="10"/>
      <x:c r="J81" s="10"/>
      <x:c r="K81" s="10"/>
      <x:c r="L81" s="10"/>
    </x:row>
    <x:row r="82">
      <x:c r="A82" s="10"/>
      <x:c r="B82" s="11"/>
      <x:c r="C82" s="10"/>
      <x:c r="D82" s="10"/>
      <x:c r="E82" s="12"/>
      <x:c r="F82" s="12"/>
      <x:c r="G82" s="10"/>
      <x:c r="H82" s="10"/>
      <x:c r="I82" s="10"/>
      <x:c r="J82" s="10"/>
      <x:c r="K82" s="10"/>
      <x:c r="L82" s="10"/>
    </x:row>
  </x:sheetData>
  <x:conditionalFormatting sqref="G10:G73">
    <x:cfRule type="containsText" dxfId="0" priority="1" operator="containsText" text="Conflicting"/>
    <x:cfRule type="containsText" dxfId="1" priority="2" operator="containsText" text="unresolved"/>
  </x:conditionalFormatting>
  <x:pageMargins left="0.7" right="0.7" top="0.75" bottom="0.75" header="0.3" footer="0.3"/>
  <x:tableParts count="1">
    <x:tablePart xmlns:r="http://schemas.openxmlformats.org/officeDocument/2006/relationships" r:id="R119bb1e2055f4e50"/>
  </x:tableParts>
</x:worksheet>
</file>

<file path=xl/worksheets/sheet2.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0.5600004196167" hidden="0" customWidth="1"/>
    <x:col min="2" max="2" width="20" hidden="0" customWidth="1"/>
    <x:col min="3" max="3" width="11.109999656677246" hidden="0" customWidth="1"/>
    <x:col min="4" max="4" width="9.4399995803833" hidden="0" customWidth="1"/>
    <x:col min="5" max="5" width="12.779999732971191" hidden="0" customWidth="1"/>
    <x:col min="6" max="6" width="16.110000610351562" hidden="0" customWidth="1"/>
    <x:col min="7" max="7" width="8.890000343322754" hidden="0" customWidth="1"/>
    <x:col min="8" max="8" width="12.779999732971191" hidden="0" customWidth="1"/>
    <x:col min="9" max="9" width="8.890000343322754" hidden="0" customWidth="1"/>
    <x:col min="10" max="10" width="13.890000343322754" hidden="0" customWidth="1"/>
    <x:col min="11" max="11" width="72.22000122070312" hidden="0" customWidth="1"/>
    <x:col min="12" max="12" width="72.22000122070312" hidden="0" customWidth="1"/>
    <x:col min="13" max="13" width="23.329999923706055" hidden="0" customWidth="1"/>
    <x:col min="14" max="14" width="55.560001373291016" hidden="0" customWidth="1"/>
    <x:col min="15" max="15" width="13.329999923706055" hidden="0" customWidth="1"/>
    <x:col min="16" max="16" width="68.88999938964844" hidden="0" customWidth="1"/>
    <x:col min="17" max="17" width="68.88999938964844" hidden="0" customWidth="1"/>
    <x:col min="18" max="18" width="48.88999938964844" hidden="0" customWidth="1"/>
    <x:col min="19" max="19" width="12.220000267028809" hidden="0" customWidth="1"/>
  </x:cols>
  <x:sheetData>
    <x:row r="1">
      <x:c r="A1" s="2"/>
      <x:c r="B1" s="2"/>
      <x:c r="C1" s="2"/>
      <x:c r="D1" s="2"/>
      <x:c r="E1" s="2"/>
      <x:c r="F1" s="2"/>
      <x:c r="G1" s="2"/>
      <x:c r="H1" s="2"/>
      <x:c r="I1" s="2"/>
      <x:c r="J1" s="2"/>
      <x:c r="K1" s="2"/>
      <x:c r="L1" s="2"/>
      <x:c r="M1" s="2"/>
      <x:c r="N1" s="2"/>
      <x:c r="O1" s="2"/>
      <x:c r="P1" s="2"/>
      <x:c r="Q1" s="2"/>
      <x:c r="R1" s="2"/>
      <x:c r="S1" s="2"/>
    </x:row>
    <x:row r="2">
      <x:c r="A2" s="3" t="str">
        <x:v>Questions, comments and responses</x:v>
      </x:c>
      <x:c r="B2" s="2"/>
      <x:c r="C2" s="2"/>
      <x:c r="D2" s="2"/>
      <x:c r="E2" s="2"/>
      <x:c r="F2" s="2"/>
      <x:c r="G2" s="2"/>
      <x:c r="H2" s="2"/>
      <x:c r="I2" s="2"/>
      <x:c r="J2" s="2"/>
      <x:c r="K2" s="2"/>
      <x:c r="L2" s="2"/>
      <x:c r="M2" s="2"/>
      <x:c r="N2" s="2"/>
      <x:c r="O2" s="2"/>
      <x:c r="P2" s="2"/>
      <x:c r="Q2" s="2"/>
      <x:c r="R2" s="2"/>
      <x:c r="S2" s="2"/>
    </x:row>
    <x:row r="3">
      <x:c r="A3" s="4"/>
      <x:c r="B3" s="4"/>
      <x:c r="C3" s="4"/>
      <x:c r="D3" s="4"/>
      <x:c r="E3" s="4"/>
      <x:c r="F3" s="4"/>
      <x:c r="G3" s="4"/>
      <x:c r="H3" s="4"/>
      <x:c r="I3" s="4"/>
      <x:c r="J3" s="4"/>
      <x:c r="K3" s="4"/>
      <x:c r="L3" s="4"/>
      <x:c r="M3" s="4"/>
      <x:c r="N3" s="4"/>
      <x:c r="O3" s="4"/>
      <x:c r="P3" s="4"/>
      <x:c r="Q3" s="4"/>
      <x:c r="R3" s="4"/>
      <x:c r="S3" s="4"/>
    </x:row>
    <x:row r="4">
      <x:c r="A4" s="5" t="str">
        <x:v>Times are America/Denver, calculated from call epochs. Audio URL columns identify the individual recordings.</x:v>
      </x:c>
      <x:c r="B4" s="2"/>
      <x:c r="C4" s="2"/>
      <x:c r="D4" s="2"/>
      <x:c r="E4" s="2"/>
      <x:c r="F4" s="2"/>
      <x:c r="G4" s="2"/>
      <x:c r="H4" s="2"/>
      <x:c r="I4" s="2"/>
      <x:c r="J4" s="2"/>
      <x:c r="K4" s="2"/>
      <x:c r="L4" s="2"/>
      <x:c r="M4" s="2"/>
      <x:c r="N4" s="2"/>
      <x:c r="O4" s="2"/>
      <x:c r="P4" s="2"/>
      <x:c r="Q4" s="2"/>
      <x:c r="R4" s="2"/>
      <x:c r="S4" s="2"/>
    </x:row>
    <x:row r="5">
      <x:c r="A5" s="2" t="str">
        <x:v>Quotes retain transcript uncertainty. October 27 owner identification groups Tanner, T-Ball and G-Ball as Tanner Ballamis; the D-Ball reading is corrected to T-Ball.</x:v>
      </x:c>
      <x:c r="B5" s="2"/>
      <x:c r="C5" s="2"/>
      <x:c r="D5" s="2"/>
      <x:c r="E5" s="2"/>
      <x:c r="F5" s="2"/>
      <x:c r="G5" s="2"/>
      <x:c r="H5" s="2"/>
      <x:c r="I5" s="2"/>
      <x:c r="J5" s="2"/>
      <x:c r="K5" s="2"/>
      <x:c r="L5" s="2"/>
      <x:c r="M5" s="2"/>
      <x:c r="N5" s="2"/>
      <x:c r="O5" s="2"/>
      <x:c r="P5" s="2"/>
      <x:c r="Q5" s="2"/>
      <x:c r="R5" s="2"/>
      <x:c r="S5" s="2"/>
    </x:row>
    <x:row r="6">
      <x:c r="A6" s="2"/>
      <x:c r="B6" s="2"/>
      <x:c r="C6" s="2"/>
      <x:c r="D6" s="2"/>
      <x:c r="E6" s="2"/>
      <x:c r="F6" s="2"/>
      <x:c r="G6" s="2"/>
      <x:c r="H6" s="2"/>
      <x:c r="I6" s="2"/>
      <x:c r="J6" s="2"/>
      <x:c r="K6" s="2"/>
      <x:c r="L6" s="2"/>
      <x:c r="M6" s="2"/>
      <x:c r="N6" s="2"/>
      <x:c r="O6" s="2"/>
      <x:c r="P6" s="2"/>
      <x:c r="Q6" s="2"/>
      <x:c r="R6" s="2"/>
      <x:c r="S6" s="2"/>
    </x:row>
    <x:row r="7" ht="32" customHeight="1">
      <x:c r="A7" s="9" t="str">
        <x:v>Evidence ID</x:v>
      </x:c>
      <x:c r="B7" s="9" t="str">
        <x:v>Name in exchange</x:v>
      </x:c>
      <x:c r="C7" s="9" t="str">
        <x:v>Date</x:v>
      </x:c>
      <x:c r="D7" s="9" t="str">
        <x:v>Question clip</x:v>
      </x:c>
      <x:c r="E7" s="9" t="str">
        <x:v>Question time (MT)</x:v>
      </x:c>
      <x:c r="F7" s="9" t="str">
        <x:v>Question radio ID(s)</x:v>
      </x:c>
      <x:c r="G7" s="9" t="str">
        <x:v>Reply clip</x:v>
      </x:c>
      <x:c r="H7" s="9" t="str">
        <x:v>Reply time (MT)</x:v>
      </x:c>
      <x:c r="I7" s="9" t="str">
        <x:v>Gap (sec)</x:v>
      </x:c>
      <x:c r="J7" s="9" t="str">
        <x:v>Reply radio ID</x:v>
      </x:c>
      <x:c r="K7" s="9" t="str">
        <x:v>Question / comment transcript</x:v>
      </x:c>
      <x:c r="L7" s="9" t="str">
        <x:v>Reply transcript</x:v>
      </x:c>
      <x:c r="M7" s="9" t="str">
        <x:v>Assessment</x:v>
      </x:c>
      <x:c r="N7" s="9" t="str">
        <x:v>Review note</x:v>
      </x:c>
      <x:c r="O7" s="9" t="str">
        <x:v>Audio reviewed</x:v>
      </x:c>
      <x:c r="P7" s="9" t="str">
        <x:v>Question audio</x:v>
      </x:c>
      <x:c r="Q7" s="9" t="str">
        <x:v>Reply audio</x:v>
      </x:c>
      <x:c r="R7" s="9" t="str">
        <x:v>Archive day</x:v>
      </x:c>
      <x:c r="S7" s="9" t="str">
        <x:v>Source gap (sec)</x:v>
      </x:c>
    </x:row>
    <x:row r="8" ht="60" customHeight="1">
      <x:c r="A8" s="13" t="str">
        <x:v>E001</x:v>
      </x:c>
      <x:c r="B8" s="13" t="str">
        <x:v>Somerville</x:v>
      </x:c>
      <x:c r="C8" s="14" t="n">
        <x:v>46274</x:v>
      </x:c>
      <x:c r="D8" s="13" t="n">
        <x:v>342</x:v>
      </x:c>
      <x:c r="E8" s="15" t="n">
        <x:v>0.8835879629629629</x:v>
      </x:c>
      <x:c r="F8" s="16" t="str">
        <x:v>14590104</x:v>
      </x:c>
      <x:c r="G8" s="13" t="n">
        <x:v>343</x:v>
      </x:c>
      <x:c r="H8" s="15" t="n">
        <x:v>0.8836921296296296</x:v>
      </x:c>
      <x:c r="I8" s="17" t="n">
        <x:f>ROUND((H8-E8)*86400,0)</x:f>
        <x:v>9</x:v>
      </x:c>
      <x:c r="J8" s="16" t="str">
        <x:v>14590042</x:v>
      </x:c>
      <x:c r="K8" s="13" t="str">
        <x:v>Somerville, where are you parked?</x:v>
      </x:c>
      <x:c r="L8" s="13" t="str">
        <x:v>I'm on the west side of Building C. I'm actually parked pretty close to you. I can see you now. I'm on the north side of the building right now.</x:v>
      </x:c>
      <x:c r="M8" s="13" t="str">
        <x:v>Transcript association</x:v>
      </x:c>
      <x:c r="N8" s="13" t="str"/>
      <x:c r="O8" s="18" t="str">
        <x:v>Not reviewed</x:v>
      </x:c>
      <x:c r="P8" s="19" t="str">
        <x:v>https://afpd-accountability.com/records/openmhz/openmhz-afpd-car-to-car-2026-09-09/dcfems-6001-1789009942.m4a</x:v>
      </x:c>
      <x:c r="Q8" s="19" t="str">
        <x:v>https://afpd-accountability.com/records/openmhz/openmhz-afpd-car-to-car-2026-09-09/dcfems-6001-1789009951.m4a</x:v>
      </x:c>
      <x:c r="R8" s="19" t="str">
        <x:v>https://afpd-accountability.com/police-radio/?date=2026-09-09</x:v>
      </x:c>
      <x:c r="S8" s="13" t="n">
        <x:v>9</x:v>
      </x:c>
    </x:row>
    <x:row r="9" ht="60" customHeight="1">
      <x:c r="A9" s="13" t="str">
        <x:v>E002</x:v>
      </x:c>
      <x:c r="B9" s="13" t="str">
        <x:v>Jackie</x:v>
      </x:c>
      <x:c r="C9" s="14" t="n">
        <x:v>46275</x:v>
      </x:c>
      <x:c r="D9" s="13" t="n">
        <x:v>6</x:v>
      </x:c>
      <x:c r="E9" s="15" t="n">
        <x:v>0.07113425925925926</x:v>
      </x:c>
      <x:c r="F9" s="16" t="str">
        <x:v>14590021</x:v>
      </x:c>
      <x:c r="G9" s="13" t="n">
        <x:v>7</x:v>
      </x:c>
      <x:c r="H9" s="15" t="n">
        <x:v>0.07116898148148149</x:v>
      </x:c>
      <x:c r="I9" s="17" t="n">
        <x:f>ROUND((H9-E9)*86400,0)</x:f>
        <x:v>3</x:v>
      </x:c>
      <x:c r="J9" s="16" t="str">
        <x:v>14590200</x:v>
      </x:c>
      <x:c r="K9" s="13" t="str">
        <x:v>Hey, [Jackie?], what are you doing?</x:v>
      </x:c>
      <x:c r="L9" s="13" t="str">
        <x:v>We were checking the [poles?] to see if we could find [unclear, possibly a hotel]. We haven't found anything.</x:v>
      </x:c>
      <x:c r="M9" s="13" t="str">
        <x:v>Transcript association</x:v>
      </x:c>
      <x:c r="N9" s="13" t="str">
        <x:v>Mostly 14590104 and 14590200; 14590103 has only one uncertain exchange. No roster identity assigned from the nickname alone.</x:v>
      </x:c>
      <x:c r="O9" s="18" t="str">
        <x:v>Not reviewed</x:v>
      </x:c>
      <x:c r="P9" s="19" t="str">
        <x:v>https://afpd-accountability.com/records/openmhz/openmhz-afpd-car-to-car-2026-09-10/dcfems-6001-1789026146.m4a</x:v>
      </x:c>
      <x:c r="Q9" s="19" t="str">
        <x:v>https://afpd-accountability.com/records/openmhz/openmhz-afpd-car-to-car-2026-09-10/dcfems-6001-1789026149.m4a</x:v>
      </x:c>
      <x:c r="R9" s="19" t="str">
        <x:v>https://afpd-accountability.com/police-radio/?date=2026-09-10</x:v>
      </x:c>
      <x:c r="S9" s="13" t="n">
        <x:v>3</x:v>
      </x:c>
    </x:row>
    <x:row r="10" ht="60" customHeight="1">
      <x:c r="A10" s="13" t="str">
        <x:v>E003</x:v>
      </x:c>
      <x:c r="B10" s="13" t="str">
        <x:v>Wagley</x:v>
      </x:c>
      <x:c r="C10" s="14" t="n">
        <x:v>46275</x:v>
      </x:c>
      <x:c r="D10" s="13" t="n">
        <x:v>49</x:v>
      </x:c>
      <x:c r="E10" s="15" t="n">
        <x:v>0.33269675925925923</x:v>
      </x:c>
      <x:c r="F10" s="16" t="str">
        <x:v>14590066</x:v>
      </x:c>
      <x:c r="G10" s="13" t="n">
        <x:v>50</x:v>
      </x:c>
      <x:c r="H10" s="15" t="n">
        <x:v>0.3327777777777778</x:v>
      </x:c>
      <x:c r="I10" s="17" t="n">
        <x:f>ROUND((H10-E10)*86400,0)</x:f>
        <x:v>7</x:v>
      </x:c>
      <x:c r="J10" s="16" t="str">
        <x:v>14590019</x:v>
      </x:c>
      <x:c r="K10" s="13" t="str">
        <x:v>[Waggly? / name unclear], just tell me what you want from me.</x:v>
      </x:c>
      <x:c r="L10" s="13" t="str">
        <x:v>[Do not / Then I'll] leave my boy high and dry.</x:v>
      </x:c>
      <x:c r="M10" s="13" t="str">
        <x:v>Transcript association</x:v>
      </x:c>
      <x:c r="N10" s="13" t="str"/>
      <x:c r="O10" s="18" t="str">
        <x:v>Not reviewed</x:v>
      </x:c>
      <x:c r="P10" s="19" t="str">
        <x:v>https://afpd-accountability.com/records/openmhz/openmhz-afpd-car-to-car-2026-09-10/dcfems-6001-1789048745.m4a</x:v>
      </x:c>
      <x:c r="Q10" s="19" t="str">
        <x:v>https://afpd-accountability.com/records/openmhz/openmhz-afpd-car-to-car-2026-09-10/dcfems-6001-1789048752.m4a</x:v>
      </x:c>
      <x:c r="R10" s="19" t="str">
        <x:v>https://afpd-accountability.com/police-radio/?date=2026-09-10</x:v>
      </x:c>
      <x:c r="S10" s="13" t="n">
        <x:v>7</x:v>
      </x:c>
    </x:row>
    <x:row r="11" ht="60" customHeight="1">
      <x:c r="A11" s="13" t="str">
        <x:v>E004</x:v>
      </x:c>
      <x:c r="B11" s="13" t="str">
        <x:v>Luke</x:v>
      </x:c>
      <x:c r="C11" s="14" t="n">
        <x:v>46275</x:v>
      </x:c>
      <x:c r="D11" s="13" t="n">
        <x:v>171</x:v>
      </x:c>
      <x:c r="E11" s="15" t="n">
        <x:v>0.45207175925925924</x:v>
      </x:c>
      <x:c r="F11" s="16" t="str">
        <x:v>14590100</x:v>
      </x:c>
      <x:c r="G11" s="13" t="n">
        <x:v>172</x:v>
      </x:c>
      <x:c r="H11" s="15" t="n">
        <x:v>0.4521527777777778</x:v>
      </x:c>
      <x:c r="I11" s="17" t="n">
        <x:f>ROUND((H11-E11)*86400,0)</x:f>
        <x:v>7</x:v>
      </x:c>
      <x:c r="J11" s="16" t="str">
        <x:v>14590117</x:v>
      </x:c>
      <x:c r="K11" s="13" t="str">
        <x:v>Luke, where are you?</x:v>
      </x:c>
      <x:c r="L11" s="13" t="str">
        <x:v>300 North, 300 West.</x:v>
      </x:c>
      <x:c r="M11" s="13" t="str">
        <x:v>Transcript association</x:v>
      </x:c>
      <x:c r="N11" s="13" t="str"/>
      <x:c r="O11" s="18" t="str">
        <x:v>Not reviewed</x:v>
      </x:c>
      <x:c r="P11" s="19" t="str">
        <x:v>https://afpd-accountability.com/records/openmhz/openmhz-afpd-car-to-car-2026-09-10/dcfems-6001-1789059059.m4a</x:v>
      </x:c>
      <x:c r="Q11" s="19" t="str">
        <x:v>https://afpd-accountability.com/records/openmhz/openmhz-afpd-car-to-car-2026-09-10/dcfems-6001-1789059066.m4a</x:v>
      </x:c>
      <x:c r="R11" s="19" t="str">
        <x:v>https://afpd-accountability.com/police-radio/?date=2026-09-10</x:v>
      </x:c>
      <x:c r="S11" s="13" t="n">
        <x:v>7</x:v>
      </x:c>
    </x:row>
    <x:row r="12" ht="60" customHeight="1">
      <x:c r="A12" s="13" t="str">
        <x:v>E005</x:v>
      </x:c>
      <x:c r="B12" s="13" t="str">
        <x:v>Luke</x:v>
      </x:c>
      <x:c r="C12" s="14" t="n">
        <x:v>46275</x:v>
      </x:c>
      <x:c r="D12" s="13" t="n">
        <x:v>202</x:v>
      </x:c>
      <x:c r="E12" s="15" t="n">
        <x:v>0.49422453703703706</x:v>
      </x:c>
      <x:c r="F12" s="16" t="str">
        <x:v>14590066</x:v>
      </x:c>
      <x:c r="G12" s="13" t="n">
        <x:v>203</x:v>
      </x:c>
      <x:c r="H12" s="15" t="n">
        <x:v>0.49431712962962965</x:v>
      </x:c>
      <x:c r="I12" s="17" t="n">
        <x:f>ROUND((H12-E12)*86400,0)</x:f>
        <x:v>8</x:v>
      </x:c>
      <x:c r="J12" s="16" t="str">
        <x:v>14590117</x:v>
      </x:c>
      <x:c r="K12" s="13" t="str">
        <x:v>Luke, I just got the [food?], so [unclear ending].</x:v>
      </x:c>
      <x:c r="L12" s="13" t="str">
        <x:v>Copy.</x:v>
      </x:c>
      <x:c r="M12" s="13" t="str">
        <x:v>Transcript association</x:v>
      </x:c>
      <x:c r="N12" s="13" t="str"/>
      <x:c r="O12" s="18" t="str">
        <x:v>Not reviewed</x:v>
      </x:c>
      <x:c r="P12" s="19" t="str">
        <x:v>https://afpd-accountability.com/records/openmhz/openmhz-afpd-car-to-car-2026-09-10/dcfems-6001-1789062701.m4a</x:v>
      </x:c>
      <x:c r="Q12" s="19" t="str">
        <x:v>https://afpd-accountability.com/records/openmhz/openmhz-afpd-car-to-car-2026-09-10/dcfems-6001-1789062709.m4a</x:v>
      </x:c>
      <x:c r="R12" s="19" t="str">
        <x:v>https://afpd-accountability.com/police-radio/?date=2026-09-10</x:v>
      </x:c>
      <x:c r="S12" s="13" t="n">
        <x:v>8</x:v>
      </x:c>
    </x:row>
    <x:row r="13" ht="60" customHeight="1">
      <x:c r="A13" s="13" t="str">
        <x:v>E006</x:v>
      </x:c>
      <x:c r="B13" s="13" t="str">
        <x:v>Wagley</x:v>
      </x:c>
      <x:c r="C13" s="14" t="n">
        <x:v>46275</x:v>
      </x:c>
      <x:c r="D13" s="13" t="n">
        <x:v>204</x:v>
      </x:c>
      <x:c r="E13" s="15" t="n">
        <x:v>0.49618055555555557</x:v>
      </x:c>
      <x:c r="F13" s="16" t="str">
        <x:v>14590140</x:v>
      </x:c>
      <x:c r="G13" s="13" t="n">
        <x:v>205</x:v>
      </x:c>
      <x:c r="H13" s="15" t="n">
        <x:v>0.49622685185185184</x:v>
      </x:c>
      <x:c r="I13" s="17" t="n">
        <x:f>ROUND((H13-E13)*86400,0)</x:f>
        <x:v>4</x:v>
      </x:c>
      <x:c r="J13" s="16" t="str">
        <x:v>14590019</x:v>
      </x:c>
      <x:c r="K13" s="13" t="str">
        <x:v>[Hey, Wag?] [Unclear question ending 'anymore.']</x:v>
      </x:c>
      <x:c r="L13" s="13" t="str">
        <x:v>We're good. We're both [good/fine/clear].</x:v>
      </x:c>
      <x:c r="M13" s="13" t="str">
        <x:v>Transcript association</x:v>
      </x:c>
      <x:c r="N13" s="13" t="str"/>
      <x:c r="O13" s="18" t="str">
        <x:v>Not reviewed</x:v>
      </x:c>
      <x:c r="P13" s="19" t="str">
        <x:v>https://afpd-accountability.com/records/openmhz/openmhz-afpd-car-to-car-2026-09-10/dcfems-6001-1789062870.m4a</x:v>
      </x:c>
      <x:c r="Q13" s="19" t="str">
        <x:v>https://afpd-accountability.com/records/openmhz/openmhz-afpd-car-to-car-2026-09-10/dcfems-6001-1789062874.m4a</x:v>
      </x:c>
      <x:c r="R13" s="19" t="str">
        <x:v>https://afpd-accountability.com/police-radio/?date=2026-09-10</x:v>
      </x:c>
      <x:c r="S13" s="13" t="n">
        <x:v>4</x:v>
      </x:c>
    </x:row>
    <x:row r="14" ht="60" customHeight="1">
      <x:c r="A14" s="13" t="str">
        <x:v>E007</x:v>
      </x:c>
      <x:c r="B14" s="13" t="str">
        <x:v>Wagley</x:v>
      </x:c>
      <x:c r="C14" s="14" t="n">
        <x:v>46275</x:v>
      </x:c>
      <x:c r="D14" s="13" t="n">
        <x:v>226</x:v>
      </x:c>
      <x:c r="E14" s="15" t="n">
        <x:v>0.5715162037037037</x:v>
      </x:c>
      <x:c r="F14" s="16" t="str">
        <x:v>14590117</x:v>
      </x:c>
      <x:c r="G14" s="13" t="n">
        <x:v>227</x:v>
      </x:c>
      <x:c r="H14" s="15" t="n">
        <x:v>0.5715740740740741</x:v>
      </x:c>
      <x:c r="I14" s="17" t="n">
        <x:f>ROUND((H14-E14)*86400,0)</x:f>
        <x:v>5</x:v>
      </x:c>
      <x:c r="J14" s="16" t="str">
        <x:v>14590019</x:v>
      </x:c>
      <x:c r="K14" s="13" t="str">
        <x:v>[Waggly?], [where are you at? / we're here / we're out].</x:v>
      </x:c>
      <x:c r="L14" s="13" t="str">
        <x:v>Last time I went there, too many weirdos talked to me. I'm not sure I can go back.</x:v>
      </x:c>
      <x:c r="M14" s="13" t="str">
        <x:v>Transcript association</x:v>
      </x:c>
      <x:c r="N14" s="13" t="str"/>
      <x:c r="O14" s="18" t="str">
        <x:v>Not reviewed</x:v>
      </x:c>
      <x:c r="P14" s="19" t="str">
        <x:v>https://afpd-accountability.com/records/openmhz/openmhz-afpd-car-to-car-2026-09-10/dcfems-6001-1789069379.m4a</x:v>
      </x:c>
      <x:c r="Q14" s="19" t="str">
        <x:v>https://afpd-accountability.com/records/openmhz/openmhz-afpd-car-to-car-2026-09-10/dcfems-6001-1789069384.m4a</x:v>
      </x:c>
      <x:c r="R14" s="19" t="str">
        <x:v>https://afpd-accountability.com/police-radio/?date=2026-09-10</x:v>
      </x:c>
      <x:c r="S14" s="13" t="n">
        <x:v>5</x:v>
      </x:c>
    </x:row>
    <x:row r="15" ht="60" customHeight="1">
      <x:c r="A15" s="13" t="str">
        <x:v>E008</x:v>
      </x:c>
      <x:c r="B15" s="13" t="str">
        <x:v>Wagley</x:v>
      </x:c>
      <x:c r="C15" s="14" t="n">
        <x:v>46275</x:v>
      </x:c>
      <x:c r="D15" s="13" t="n">
        <x:v>254</x:v>
      </x:c>
      <x:c r="E15" s="15" t="n">
        <x:v>0.6394097222222223</x:v>
      </x:c>
      <x:c r="F15" s="16" t="str">
        <x:v>14590081</x:v>
      </x:c>
      <x:c r="G15" s="13" t="n">
        <x:v>255</x:v>
      </x:c>
      <x:c r="H15" s="15" t="n">
        <x:v>0.6394560185185185</x:v>
      </x:c>
      <x:c r="I15" s="17" t="n">
        <x:f>ROUND((H15-E15)*86400,0)</x:f>
        <x:v>4</x:v>
      </x:c>
      <x:c r="J15" s="16" t="str">
        <x:v>14590079</x:v>
      </x:c>
      <x:c r="K15" s="13" t="str">
        <x:v>[Hey, Waggly?], [you on here?]</x:v>
      </x:c>
      <x:c r="L15" s="13" t="str">
        <x:v>[Thank you / Good.]</x:v>
      </x:c>
      <x:c r="M15" s="13" t="str">
        <x:v>Transcript association</x:v>
      </x:c>
      <x:c r="N15" s="13" t="str"/>
      <x:c r="O15" s="18" t="str">
        <x:v>Not reviewed</x:v>
      </x:c>
      <x:c r="P15" s="19" t="str">
        <x:v>https://afpd-accountability.com/records/openmhz/openmhz-afpd-car-to-car-2026-09-10/dcfems-6001-1789075245.m4a</x:v>
      </x:c>
      <x:c r="Q15" s="19" t="str">
        <x:v>https://afpd-accountability.com/records/openmhz/openmhz-afpd-car-to-car-2026-09-10/dcfems-6001-1789075249.m4a</x:v>
      </x:c>
      <x:c r="R15" s="19" t="str">
        <x:v>https://afpd-accountability.com/police-radio/?date=2026-09-10</x:v>
      </x:c>
      <x:c r="S15" s="13" t="n">
        <x:v>4</x:v>
      </x:c>
    </x:row>
    <x:row r="16" ht="60" customHeight="1">
      <x:c r="A16" s="13" t="str">
        <x:v>E009</x:v>
      </x:c>
      <x:c r="B16" s="13" t="str">
        <x:v>McKay</x:v>
      </x:c>
      <x:c r="C16" s="14" t="n">
        <x:v>46275</x:v>
      </x:c>
      <x:c r="D16" s="13" t="n">
        <x:v>261</x:v>
      </x:c>
      <x:c r="E16" s="15" t="n">
        <x:v>0.640787037037037</x:v>
      </x:c>
      <x:c r="F16" s="16" t="str">
        <x:v>14590079</x:v>
      </x:c>
      <x:c r="G16" s="13" t="n">
        <x:v>262</x:v>
      </x:c>
      <x:c r="H16" s="15" t="n">
        <x:v>0.6409143518518519</x:v>
      </x:c>
      <x:c r="I16" s="17" t="n">
        <x:f>ROUND((H16-E16)*86400,0)</x:f>
        <x:v>11</x:v>
      </x:c>
      <x:c r="J16" s="16" t="str">
        <x:v>14590081</x:v>
      </x:c>
      <x:c r="K16" s="13" t="str">
        <x:v>Hey, [McKay?], [will you let?] them know that I'm involved in that somehow, or [give someone an IM?].</x:v>
      </x:c>
      <x:c r="L16" s="13" t="str">
        <x:v>[What?]</x:v>
      </x:c>
      <x:c r="M16" s="13" t="str">
        <x:v>Transcript association</x:v>
      </x:c>
      <x:c r="N16" s="13" t="str"/>
      <x:c r="O16" s="18" t="str">
        <x:v>Not reviewed</x:v>
      </x:c>
      <x:c r="P16" s="19" t="str">
        <x:v>https://afpd-accountability.com/records/openmhz/openmhz-afpd-car-to-car-2026-09-10/dcfems-6001-1789075364.m4a</x:v>
      </x:c>
      <x:c r="Q16" s="19" t="str">
        <x:v>https://afpd-accountability.com/records/openmhz/openmhz-afpd-car-to-car-2026-09-10/dcfems-6001-1789075375.m4a</x:v>
      </x:c>
      <x:c r="R16" s="19" t="str">
        <x:v>https://afpd-accountability.com/police-radio/?date=2026-09-10</x:v>
      </x:c>
      <x:c r="S16" s="13" t="n">
        <x:v>11</x:v>
      </x:c>
    </x:row>
    <x:row r="17" ht="60" customHeight="1">
      <x:c r="A17" s="13" t="str">
        <x:v>E010</x:v>
      </x:c>
      <x:c r="B17" s="13" t="str">
        <x:v>McKay</x:v>
      </x:c>
      <x:c r="C17" s="14" t="n">
        <x:v>46275</x:v>
      </x:c>
      <x:c r="D17" s="13" t="n">
        <x:v>270</x:v>
      </x:c>
      <x:c r="E17" s="15" t="n">
        <x:v>0.6469097222222222</x:v>
      </x:c>
      <x:c r="F17" s="16" t="str">
        <x:v>14590019</x:v>
      </x:c>
      <x:c r="G17" s="13" t="n">
        <x:v>271</x:v>
      </x:c>
      <x:c r="H17" s="15" t="n">
        <x:v>0.6470023148148148</x:v>
      </x:c>
      <x:c r="I17" s="17" t="n">
        <x:f>ROUND((H17-E17)*86400,0)</x:f>
        <x:v>8</x:v>
      </x:c>
      <x:c r="J17" s="16" t="str">
        <x:v>14590102</x:v>
      </x:c>
      <x:c r="K17" s="13" t="str">
        <x:v>Hey, [McKay?], I solved it down here. You don't need to come down.</x:v>
      </x:c>
      <x:c r="L17" s="13" t="str">
        <x:v>Copy.</x:v>
      </x:c>
      <x:c r="M17" s="13" t="str">
        <x:v>Transcript association</x:v>
      </x:c>
      <x:c r="N17" s="13" t="str"/>
      <x:c r="O17" s="18" t="str">
        <x:v>Not reviewed</x:v>
      </x:c>
      <x:c r="P17" s="19" t="str">
        <x:v>https://afpd-accountability.com/records/openmhz/openmhz-afpd-car-to-car-2026-09-10/dcfems-6001-1789075893.m4a</x:v>
      </x:c>
      <x:c r="Q17" s="19" t="str">
        <x:v>https://afpd-accountability.com/records/openmhz/openmhz-afpd-car-to-car-2026-09-10/dcfems-6001-1789075901.m4a</x:v>
      </x:c>
      <x:c r="R17" s="19" t="str">
        <x:v>https://afpd-accountability.com/police-radio/?date=2026-09-10</x:v>
      </x:c>
      <x:c r="S17" s="13" t="n">
        <x:v>8</x:v>
      </x:c>
    </x:row>
    <x:row r="18" ht="60" customHeight="1">
      <x:c r="A18" s="13" t="str">
        <x:v>E011</x:v>
      </x:c>
      <x:c r="B18" s="13" t="str">
        <x:v>Gonzalez / David</x:v>
      </x:c>
      <x:c r="C18" s="14" t="n">
        <x:v>46275</x:v>
      </x:c>
      <x:c r="D18" s="13" t="n">
        <x:v>281</x:v>
      </x:c>
      <x:c r="E18" s="15" t="n">
        <x:v>0.820162037037037</x:v>
      </x:c>
      <x:c r="F18" s="16" t="str">
        <x:v>14590114</x:v>
      </x:c>
      <x:c r="G18" s="13" t="n">
        <x:v>282</x:v>
      </x:c>
      <x:c r="H18" s="15" t="n">
        <x:v>0.8202777777777778</x:v>
      </x:c>
      <x:c r="I18" s="17" t="n">
        <x:f>ROUND((H18-E18)*86400,0)</x:f>
        <x:v>10</x:v>
      </x:c>
      <x:c r="J18" s="16" t="str">
        <x:v>14580152</x:v>
      </x:c>
      <x:c r="K18" s="13" t="str">
        <x:v>Hey, David, if you want to grab mine too, that would be awesome.</x:v>
      </x:c>
      <x:c r="L18" s="13" t="str">
        <x:v>Okay.</x:v>
      </x:c>
      <x:c r="M18" s="13" t="str">
        <x:v>Transcript association</x:v>
      </x:c>
      <x:c r="N18" s="13" t="str"/>
      <x:c r="O18" s="18" t="str">
        <x:v>Not reviewed</x:v>
      </x:c>
      <x:c r="P18" s="19" t="str">
        <x:v>https://afpd-accountability.com/records/openmhz/openmhz-afpd-car-to-car-2026-09-10/dcfems-6001-1789090862.m4a</x:v>
      </x:c>
      <x:c r="Q18" s="19" t="str">
        <x:v>https://afpd-accountability.com/records/openmhz/openmhz-afpd-car-to-car-2026-09-10/dcfems-6001-1789090872.m4a</x:v>
      </x:c>
      <x:c r="R18" s="19" t="str">
        <x:v>https://afpd-accountability.com/police-radio/?date=2026-09-10</x:v>
      </x:c>
      <x:c r="S18" s="13" t="n">
        <x:v>10</x:v>
      </x:c>
    </x:row>
    <x:row r="19" ht="60" customHeight="1">
      <x:c r="A19" s="13" t="str">
        <x:v>E012</x:v>
      </x:c>
      <x:c r="B19" s="13" t="str">
        <x:v>Jackie</x:v>
      </x:c>
      <x:c r="C19" s="14" t="n">
        <x:v>46275</x:v>
      </x:c>
      <x:c r="D19" s="13" t="n">
        <x:v>310</x:v>
      </x:c>
      <x:c r="E19" s="15" t="n">
        <x:v>0.950925925925926</x:v>
      </x:c>
      <x:c r="F19" s="16" t="str">
        <x:v>14590030</x:v>
      </x:c>
      <x:c r="G19" s="13" t="n">
        <x:v>311</x:v>
      </x:c>
      <x:c r="H19" s="15" t="n">
        <x:v>0.9509837962962963</x:v>
      </x:c>
      <x:c r="I19" s="17" t="n">
        <x:f>ROUND((H19-E19)*86400,0)</x:f>
        <x:v>5</x:v>
      </x:c>
      <x:c r="J19" s="16" t="str">
        <x:v>14590104</x:v>
      </x:c>
      <x:c r="K19" s="13" t="str">
        <x:v>[Jackie?], do you want anything from there? I can get you whatever.</x:v>
      </x:c>
      <x:c r="L19" s="13" t="str">
        <x:v>No, I'll just get [Del Taco?] when I come back.</x:v>
      </x:c>
      <x:c r="M19" s="13" t="str">
        <x:v>Transcript association</x:v>
      </x:c>
      <x:c r="N19" s="13" t="str">
        <x:v>Mostly 14590104 and 14590200; 14590103 has only one uncertain exchange. No roster identity assigned from the nickname alone.</x:v>
      </x:c>
      <x:c r="O19" s="18" t="str">
        <x:v>Not reviewed</x:v>
      </x:c>
      <x:c r="P19" s="19" t="str">
        <x:v>https://afpd-accountability.com/records/openmhz/openmhz-afpd-car-to-car-2026-09-10/dcfems-6001-1789102160.m4a</x:v>
      </x:c>
      <x:c r="Q19" s="19" t="str">
        <x:v>https://afpd-accountability.com/records/openmhz/openmhz-afpd-car-to-car-2026-09-10/dcfems-6001-1789102165.m4a</x:v>
      </x:c>
      <x:c r="R19" s="19" t="str">
        <x:v>https://afpd-accountability.com/police-radio/?date=2026-09-10</x:v>
      </x:c>
      <x:c r="S19" s="13" t="n">
        <x:v>5</x:v>
      </x:c>
    </x:row>
    <x:row r="20" ht="60" customHeight="1">
      <x:c r="A20" s="13" t="str">
        <x:v>E013</x:v>
      </x:c>
      <x:c r="B20" s="13" t="str">
        <x:v>Jackie</x:v>
      </x:c>
      <x:c r="C20" s="14" t="n">
        <x:v>46276</x:v>
      </x:c>
      <x:c r="D20" s="13" t="n">
        <x:v>19</x:v>
      </x:c>
      <x:c r="E20" s="15" t="n">
        <x:v>0.07818287037037037</x:v>
      </x:c>
      <x:c r="F20" s="16" t="str">
        <x:v>14590030</x:v>
      </x:c>
      <x:c r="G20" s="13" t="n">
        <x:v>20</x:v>
      </x:c>
      <x:c r="H20" s="15" t="n">
        <x:v>0.07825231481481482</x:v>
      </x:c>
      <x:c r="I20" s="17" t="n">
        <x:f>ROUND((H20-E20)*86400,0)</x:f>
        <x:v>6</x:v>
      </x:c>
      <x:c r="J20" s="16" t="str">
        <x:v>14590104</x:v>
      </x:c>
      <x:c r="K20" s="13" t="str">
        <x:v>[Jackie?], what’s your 82’s name?</x:v>
      </x:c>
      <x:c r="L20" s="13" t="str">
        <x:v>[Carl?]</x:v>
      </x:c>
      <x:c r="M20" s="13" t="str">
        <x:v>Transcript association</x:v>
      </x:c>
      <x:c r="N20" s="13" t="str">
        <x:v>Mostly 14590104 and 14590200; 14590103 has only one uncertain exchange. No roster identity assigned from the nickname alone.</x:v>
      </x:c>
      <x:c r="O20" s="18" t="str">
        <x:v>Not reviewed</x:v>
      </x:c>
      <x:c r="P20" s="19" t="str">
        <x:v>https://afpd-accountability.com/records/openmhz/openmhz-afpd-car-to-car-2026-09-11/dcfems-6001-1789113155.m4a</x:v>
      </x:c>
      <x:c r="Q20" s="19" t="str">
        <x:v>https://afpd-accountability.com/records/openmhz/openmhz-afpd-car-to-car-2026-09-11/dcfems-6001-1789113161.m4a</x:v>
      </x:c>
      <x:c r="R20" s="19" t="str">
        <x:v>https://afpd-accountability.com/police-radio/?date=2026-09-11</x:v>
      </x:c>
      <x:c r="S20" s="13" t="n">
        <x:v>6</x:v>
      </x:c>
    </x:row>
    <x:row r="21" ht="60" customHeight="1">
      <x:c r="A21" s="13" t="str">
        <x:v>E014</x:v>
      </x:c>
      <x:c r="B21" s="13" t="str">
        <x:v>Jackie</x:v>
      </x:c>
      <x:c r="C21" s="14" t="n">
        <x:v>46276</x:v>
      </x:c>
      <x:c r="D21" s="13" t="n">
        <x:v>30</x:v>
      </x:c>
      <x:c r="E21" s="15" t="n">
        <x:v>0.15736111111111112</x:v>
      </x:c>
      <x:c r="F21" s="16" t="str">
        <x:v>14590030</x:v>
      </x:c>
      <x:c r="G21" s="13" t="n">
        <x:v>31</x:v>
      </x:c>
      <x:c r="H21" s="15" t="n">
        <x:v>0.15751157407407407</x:v>
      </x:c>
      <x:c r="I21" s="17" t="n">
        <x:f>ROUND((H21-E21)*86400,0)</x:f>
        <x:v>13</x:v>
      </x:c>
      <x:c r="J21" s="16" t="str">
        <x:v>14590200</x:v>
      </x:c>
      <x:c r="K21" s="13" t="str">
        <x:v>[Jackie?], if you have an ink pad in your car, will you bring that in too?</x:v>
      </x:c>
      <x:c r="L21" s="13" t="str">
        <x:v>[Yes?]</x:v>
      </x:c>
      <x:c r="M21" s="13" t="str">
        <x:v>Transcript association</x:v>
      </x:c>
      <x:c r="N21" s="13" t="str">
        <x:v>Mostly 14590104 and 14590200; 14590103 has only one uncertain exchange. No roster identity assigned from the nickname alone.</x:v>
      </x:c>
      <x:c r="O21" s="18" t="str">
        <x:v>Not reviewed</x:v>
      </x:c>
      <x:c r="P21" s="19" t="str">
        <x:v>https://afpd-accountability.com/records/openmhz/openmhz-afpd-car-to-car-2026-09-11/dcfems-6001-1789119996.m4a</x:v>
      </x:c>
      <x:c r="Q21" s="19" t="str">
        <x:v>https://afpd-accountability.com/records/openmhz/openmhz-afpd-car-to-car-2026-09-11/dcfems-6001-1789120009.m4a</x:v>
      </x:c>
      <x:c r="R21" s="19" t="str">
        <x:v>https://afpd-accountability.com/police-radio/?date=2026-09-11</x:v>
      </x:c>
      <x:c r="S21" s="13" t="n">
        <x:v>13</x:v>
      </x:c>
    </x:row>
    <x:row r="22" ht="60" customHeight="1">
      <x:c r="A22" s="13" t="str">
        <x:v>E015</x:v>
      </x:c>
      <x:c r="B22" s="13" t="str">
        <x:v>Richardson / Cole</x:v>
      </x:c>
      <x:c r="C22" s="14" t="n">
        <x:v>46276</x:v>
      </x:c>
      <x:c r="D22" s="13" t="n">
        <x:v>52</x:v>
      </x:c>
      <x:c r="E22" s="15" t="n">
        <x:v>0.40248842592592593</x:v>
      </x:c>
      <x:c r="F22" s="16" t="str">
        <x:v>14590066</x:v>
      </x:c>
      <x:c r="G22" s="13" t="n">
        <x:v>53</x:v>
      </x:c>
      <x:c r="H22" s="15" t="n">
        <x:v>0.4025578703703704</x:v>
      </x:c>
      <x:c r="I22" s="17" t="n">
        <x:f>ROUND((H22-E22)*86400,0)</x:f>
        <x:v>6</x:v>
      </x:c>
      <x:c r="J22" s="16" t="str">
        <x:v>14590123</x:v>
      </x:c>
      <x:c r="K22" s="13" t="str">
        <x:v>Looks like [Cole?] has learned from his mistakes.</x:v>
      </x:c>
      <x:c r="L22" s="13" t="str">
        <x:v>I'm just choosing to be a better person.</x:v>
      </x:c>
      <x:c r="M22" s="13" t="str">
        <x:v>Transcript association</x:v>
      </x:c>
      <x:c r="N22" s="13" t="str"/>
      <x:c r="O22" s="18" t="str">
        <x:v>Not reviewed</x:v>
      </x:c>
      <x:c r="P22" s="19" t="str">
        <x:v>https://afpd-accountability.com/records/openmhz/openmhz-afpd-car-to-car-2026-09-11/dcfems-6001-1789141175.m4a</x:v>
      </x:c>
      <x:c r="Q22" s="19" t="str">
        <x:v>https://afpd-accountability.com/records/openmhz/openmhz-afpd-car-to-car-2026-09-11/dcfems-6001-1789141181.m4a</x:v>
      </x:c>
      <x:c r="R22" s="19" t="str">
        <x:v>https://afpd-accountability.com/police-radio/?date=2026-09-11</x:v>
      </x:c>
      <x:c r="S22" s="13" t="n">
        <x:v>6</x:v>
      </x:c>
    </x:row>
    <x:row r="23" ht="60" customHeight="1">
      <x:c r="A23" s="13" t="str">
        <x:v>E016</x:v>
      </x:c>
      <x:c r="B23" s="13" t="str">
        <x:v>Jake</x:v>
      </x:c>
      <x:c r="C23" s="14" t="n">
        <x:v>46276</x:v>
      </x:c>
      <x:c r="D23" s="13" t="n">
        <x:v>65</x:v>
      </x:c>
      <x:c r="E23" s="15" t="n">
        <x:v>0.4318518518518519</x:v>
      </x:c>
      <x:c r="F23" s="16" t="str">
        <x:v>14590088</x:v>
      </x:c>
      <x:c r="G23" s="13" t="n">
        <x:v>66</x:v>
      </x:c>
      <x:c r="H23" s="15" t="n">
        <x:v>0.4319675925925926</x:v>
      </x:c>
      <x:c r="I23" s="17" t="n">
        <x:f>ROUND((H23-E23)*86400,0)</x:f>
        <x:v>10</x:v>
      </x:c>
      <x:c r="J23" s="16" t="str">
        <x:v>14590025</x:v>
      </x:c>
      <x:c r="K23" s="13" t="str">
        <x:v>Hey Jake, we're just on the south side of Dollar Tree in the trees.</x:v>
      </x:c>
      <x:c r="L23" s="13" t="str">
        <x:v>Yeah, I'm over here.</x:v>
      </x:c>
      <x:c r="M23" s="13" t="str">
        <x:v>Transcript association</x:v>
      </x:c>
      <x:c r="N23" s="13" t="str">
        <x:v>More than one officer on the roster uses Jake or Jacob. These rows preserve the spoken first name only.</x:v>
      </x:c>
      <x:c r="O23" s="18" t="str">
        <x:v>Not reviewed</x:v>
      </x:c>
      <x:c r="P23" s="19" t="str">
        <x:v>https://afpd-accountability.com/records/openmhz/openmhz-afpd-car-to-car-2026-09-11/dcfems-6001-1789143712.m4a</x:v>
      </x:c>
      <x:c r="Q23" s="19" t="str">
        <x:v>https://afpd-accountability.com/records/openmhz/openmhz-afpd-car-to-car-2026-09-11/dcfems-6001-1789143722.m4a</x:v>
      </x:c>
      <x:c r="R23" s="19" t="str">
        <x:v>https://afpd-accountability.com/police-radio/?date=2026-09-11</x:v>
      </x:c>
      <x:c r="S23" s="13" t="n">
        <x:v>10</x:v>
      </x:c>
    </x:row>
    <x:row r="24" ht="60" customHeight="1">
      <x:c r="A24" s="13" t="str">
        <x:v>E017</x:v>
      </x:c>
      <x:c r="B24" s="13" t="str">
        <x:v>Jake</x:v>
      </x:c>
      <x:c r="C24" s="14" t="n">
        <x:v>46276</x:v>
      </x:c>
      <x:c r="D24" s="13" t="n">
        <x:v>81</x:v>
      </x:c>
      <x:c r="E24" s="15" t="n">
        <x:v>0.4392476851851852</x:v>
      </x:c>
      <x:c r="F24" s="16" t="str">
        <x:v>14590123</x:v>
      </x:c>
      <x:c r="G24" s="13" t="n">
        <x:v>82</x:v>
      </x:c>
      <x:c r="H24" s="15" t="n">
        <x:v>0.4392824074074074</x:v>
      </x:c>
      <x:c r="I24" s="17" t="n">
        <x:f>ROUND((H24-E24)*86400,0)</x:f>
        <x:v>3</x:v>
      </x:c>
      <x:c r="J24" s="16" t="str">
        <x:v>14590118</x:v>
      </x:c>
      <x:c r="K24" s="13" t="str">
        <x:v>[Jake?], you on here?</x:v>
      </x:c>
      <x:c r="L24" s="13" t="str">
        <x:v>Yeah, go ahead.</x:v>
      </x:c>
      <x:c r="M24" s="13" t="str">
        <x:v>Transcript association</x:v>
      </x:c>
      <x:c r="N24" s="13" t="str">
        <x:v>More than one officer on the roster uses Jake or Jacob. These rows preserve the spoken first name only.</x:v>
      </x:c>
      <x:c r="O24" s="18" t="str">
        <x:v>Not reviewed</x:v>
      </x:c>
      <x:c r="P24" s="19" t="str">
        <x:v>https://afpd-accountability.com/records/openmhz/openmhz-afpd-car-to-car-2026-09-11/dcfems-6001-1789144351.m4a</x:v>
      </x:c>
      <x:c r="Q24" s="19" t="str">
        <x:v>https://afpd-accountability.com/records/openmhz/openmhz-afpd-car-to-car-2026-09-11/dcfems-6001-1789144354.m4a</x:v>
      </x:c>
      <x:c r="R24" s="19" t="str">
        <x:v>https://afpd-accountability.com/police-radio/?date=2026-09-11</x:v>
      </x:c>
      <x:c r="S24" s="13" t="n">
        <x:v>3</x:v>
      </x:c>
    </x:row>
    <x:row r="25" ht="60" customHeight="1">
      <x:c r="A25" s="13" t="str">
        <x:v>E018</x:v>
      </x:c>
      <x:c r="B25" s="13" t="str">
        <x:v>Phil</x:v>
      </x:c>
      <x:c r="C25" s="14" t="n">
        <x:v>46276</x:v>
      </x:c>
      <x:c r="D25" s="13" t="n">
        <x:v>99</x:v>
      </x:c>
      <x:c r="E25" s="15" t="n">
        <x:v>0.44686342592592593</x:v>
      </x:c>
      <x:c r="F25" s="16" t="str">
        <x:v>14590118</x:v>
      </x:c>
      <x:c r="G25" s="13" t="n">
        <x:v>100</x:v>
      </x:c>
      <x:c r="H25" s="15" t="n">
        <x:v>0.4469212962962963</x:v>
      </x:c>
      <x:c r="I25" s="17" t="n">
        <x:f>ROUND((H25-E25)*86400,0)</x:f>
        <x:v>5</x:v>
      </x:c>
      <x:c r="J25" s="16" t="str">
        <x:v>14590126</x:v>
      </x:c>
      <x:c r="K25" s="13" t="str">
        <x:v>Thanks, [Phil?]. That one should be enjoyable.</x:v>
      </x:c>
      <x:c r="L25" s="13" t="str">
        <x:v>Yeah, no problem.</x:v>
      </x:c>
      <x:c r="M25" s="13" t="str">
        <x:v>Transcript association</x:v>
      </x:c>
      <x:c r="N25" s="13" t="str">
        <x:v>Phil is not a unique first name on the roster; Philip Valadez is a candidate because of a separate Valadez hail.</x:v>
      </x:c>
      <x:c r="O25" s="18" t="str">
        <x:v>Not reviewed</x:v>
      </x:c>
      <x:c r="P25" s="19" t="str">
        <x:v>https://afpd-accountability.com/records/openmhz/openmhz-afpd-car-to-car-2026-09-11/dcfems-6001-1789145009.m4a</x:v>
      </x:c>
      <x:c r="Q25" s="19" t="str">
        <x:v>https://afpd-accountability.com/records/openmhz/openmhz-afpd-car-to-car-2026-09-11/dcfems-6001-1789145014.m4a</x:v>
      </x:c>
      <x:c r="R25" s="19" t="str">
        <x:v>https://afpd-accountability.com/police-radio/?date=2026-09-11</x:v>
      </x:c>
      <x:c r="S25" s="13" t="n">
        <x:v>5</x:v>
      </x:c>
    </x:row>
    <x:row r="26" ht="60" customHeight="1">
      <x:c r="A26" s="13" t="str">
        <x:v>E019</x:v>
      </x:c>
      <x:c r="B26" s="13" t="str">
        <x:v>Jake</x:v>
      </x:c>
      <x:c r="C26" s="14" t="n">
        <x:v>46276</x:v>
      </x:c>
      <x:c r="D26" s="13" t="n">
        <x:v>206</x:v>
      </x:c>
      <x:c r="E26" s="15" t="n">
        <x:v>0.5425231481481482</x:v>
      </x:c>
      <x:c r="F26" s="16" t="str">
        <x:v>14590066</x:v>
      </x:c>
      <x:c r="G26" s="13" t="n">
        <x:v>207</x:v>
      </x:c>
      <x:c r="H26" s="15" t="n">
        <x:v>0.5425810185185185</x:v>
      </x:c>
      <x:c r="I26" s="17" t="n">
        <x:f>ROUND((H26-E26)*86400,0)</x:f>
        <x:v>5</x:v>
      </x:c>
      <x:c r="J26" s="16" t="str">
        <x:v>14590118</x:v>
      </x:c>
      <x:c r="K26" s="13" t="str">
        <x:v>Jake, I'm going to do a drive-by.</x:v>
      </x:c>
      <x:c r="L26" s="13" t="str">
        <x:v>I think that's a swell idea.</x:v>
      </x:c>
      <x:c r="M26" s="13" t="str">
        <x:v>Transcript association</x:v>
      </x:c>
      <x:c r="N26" s="13" t="str">
        <x:v>More than one officer on the roster uses Jake or Jacob. These rows preserve the spoken first name only.</x:v>
      </x:c>
      <x:c r="O26" s="18" t="str">
        <x:v>Not reviewed</x:v>
      </x:c>
      <x:c r="P26" s="19" t="str">
        <x:v>https://afpd-accountability.com/records/openmhz/openmhz-afpd-car-to-car-2026-09-11/dcfems-6001-1789153274.m4a</x:v>
      </x:c>
      <x:c r="Q26" s="19" t="str">
        <x:v>https://afpd-accountability.com/records/openmhz/openmhz-afpd-car-to-car-2026-09-11/dcfems-6001-1789153279.m4a</x:v>
      </x:c>
      <x:c r="R26" s="19" t="str">
        <x:v>https://afpd-accountability.com/police-radio/?date=2026-09-11</x:v>
      </x:c>
      <x:c r="S26" s="13" t="n">
        <x:v>5</x:v>
      </x:c>
    </x:row>
    <x:row r="27" ht="60" customHeight="1">
      <x:c r="A27" s="13" t="str">
        <x:v>E020</x:v>
      </x:c>
      <x:c r="B27" s="13" t="str">
        <x:v>Diego / Garcia</x:v>
      </x:c>
      <x:c r="C27" s="14" t="n">
        <x:v>46276</x:v>
      </x:c>
      <x:c r="D27" s="13" t="n">
        <x:v>263</x:v>
      </x:c>
      <x:c r="E27" s="15" t="n">
        <x:v>0.5883333333333334</x:v>
      </x:c>
      <x:c r="F27" s="16" t="str">
        <x:v>14590088</x:v>
      </x:c>
      <x:c r="G27" s="13" t="n">
        <x:v>264</x:v>
      </x:c>
      <x:c r="H27" s="15" t="n">
        <x:v>0.5884259259259259</x:v>
      </x:c>
      <x:c r="I27" s="17" t="n">
        <x:f>ROUND((H27-E27)*86400,0)</x:f>
        <x:v>8</x:v>
      </x:c>
      <x:c r="J27" s="16" t="str">
        <x:v>14590089</x:v>
      </x:c>
      <x:c r="K27" s="13" t="str">
        <x:v>Hey Diego, I'm just coming across Canal now.</x:v>
      </x:c>
      <x:c r="L27" s="13" t="str">
        <x:v>No rush, I'm just walking out into my car.</x:v>
      </x:c>
      <x:c r="M27" s="13" t="str">
        <x:v>Transcript association</x:v>
      </x:c>
      <x:c r="N27" s="13" t="str"/>
      <x:c r="O27" s="18" t="str">
        <x:v>Not reviewed</x:v>
      </x:c>
      <x:c r="P27" s="19" t="str">
        <x:v>https://afpd-accountability.com/records/openmhz/openmhz-afpd-car-to-car-2026-09-11/dcfems-6001-1789157232.m4a</x:v>
      </x:c>
      <x:c r="Q27" s="19" t="str">
        <x:v>https://afpd-accountability.com/records/openmhz/openmhz-afpd-car-to-car-2026-09-11/dcfems-6001-1789157240.m4a</x:v>
      </x:c>
      <x:c r="R27" s="19" t="str">
        <x:v>https://afpd-accountability.com/police-radio/?date=2026-09-11</x:v>
      </x:c>
      <x:c r="S27" s="13" t="n">
        <x:v>8</x:v>
      </x:c>
    </x:row>
    <x:row r="28" ht="60" customHeight="1">
      <x:c r="A28" s="13" t="str">
        <x:v>E021</x:v>
      </x:c>
      <x:c r="B28" s="13" t="str">
        <x:v>Diego / Garcia</x:v>
      </x:c>
      <x:c r="C28" s="14" t="n">
        <x:v>46276</x:v>
      </x:c>
      <x:c r="D28" s="13" t="n">
        <x:v>265</x:v>
      </x:c>
      <x:c r="E28" s="15" t="n">
        <x:v>0.5908912037037037</x:v>
      </x:c>
      <x:c r="F28" s="16" t="str">
        <x:v>14590088</x:v>
      </x:c>
      <x:c r="G28" s="13" t="n">
        <x:v>266</x:v>
      </x:c>
      <x:c r="H28" s="15" t="n">
        <x:v>0.5910069444444445</x:v>
      </x:c>
      <x:c r="I28" s="17" t="n">
        <x:f>ROUND((H28-E28)*86400,0)</x:f>
        <x:v>10</x:v>
      </x:c>
      <x:c r="J28" s="16" t="str">
        <x:v>14590111</x:v>
      </x:c>
      <x:c r="K28" s="13" t="str">
        <x:v>Hey Diego, I'm sure you're reading the notes, but when you get there, you see that the other driver will move to the other spot where our RP is.</x:v>
      </x:c>
      <x:c r="L28" s="13" t="str">
        <x:v>Yeah, I’m almost there. I’m just [unclear location].</x:v>
      </x:c>
      <x:c r="M28" s="13" t="str">
        <x:v>Transcript association</x:v>
      </x:c>
      <x:c r="N28" s="13" t="str"/>
      <x:c r="O28" s="18" t="str">
        <x:v>Not reviewed</x:v>
      </x:c>
      <x:c r="P28" s="19" t="str">
        <x:v>https://afpd-accountability.com/records/openmhz/openmhz-afpd-car-to-car-2026-09-11/dcfems-6001-1789157453.m4a</x:v>
      </x:c>
      <x:c r="Q28" s="19" t="str">
        <x:v>https://afpd-accountability.com/records/openmhz/openmhz-afpd-car-to-car-2026-09-11/dcfems-6001-1789157463.m4a</x:v>
      </x:c>
      <x:c r="R28" s="19" t="str">
        <x:v>https://afpd-accountability.com/police-radio/?date=2026-09-11</x:v>
      </x:c>
      <x:c r="S28" s="13" t="n">
        <x:v>10</x:v>
      </x:c>
    </x:row>
    <x:row r="29" ht="60" customHeight="1">
      <x:c r="A29" s="13" t="str">
        <x:v>E022</x:v>
      </x:c>
      <x:c r="B29" s="13" t="str">
        <x:v>Diego / Garcia</x:v>
      </x:c>
      <x:c r="C29" s="14" t="n">
        <x:v>46276</x:v>
      </x:c>
      <x:c r="D29" s="13" t="n">
        <x:v>288</x:v>
      </x:c>
      <x:c r="E29" s="15" t="n">
        <x:v>0.6518981481481482</x:v>
      </x:c>
      <x:c r="F29" s="16" t="str">
        <x:v>14590025</x:v>
      </x:c>
      <x:c r="G29" s="13" t="n">
        <x:v>289</x:v>
      </x:c>
      <x:c r="H29" s="15" t="n">
        <x:v>0.6519675925925926</x:v>
      </x:c>
      <x:c r="I29" s="17" t="n">
        <x:f>ROUND((H29-E29)*86400,0)</x:f>
        <x:v>6</x:v>
      </x:c>
      <x:c r="J29" s="16" t="str">
        <x:v>14590111</x:v>
      </x:c>
      <x:c r="K29" s="13" t="str">
        <x:v>Diego, did you take those keys or do I need to run down and do it real quick?</x:v>
      </x:c>
      <x:c r="L29" s="13" t="str">
        <x:v>They're done.</x:v>
      </x:c>
      <x:c r="M29" s="13" t="str">
        <x:v>Transcript association</x:v>
      </x:c>
      <x:c r="N29" s="13" t="str"/>
      <x:c r="O29" s="18" t="str">
        <x:v>Not reviewed</x:v>
      </x:c>
      <x:c r="P29" s="19" t="str">
        <x:v>https://afpd-accountability.com/records/openmhz/openmhz-afpd-car-to-car-2026-09-11/dcfems-6001-1789162724.m4a</x:v>
      </x:c>
      <x:c r="Q29" s="19" t="str">
        <x:v>https://afpd-accountability.com/records/openmhz/openmhz-afpd-car-to-car-2026-09-11/dcfems-6001-1789162730.m4a</x:v>
      </x:c>
      <x:c r="R29" s="19" t="str">
        <x:v>https://afpd-accountability.com/police-radio/?date=2026-09-11</x:v>
      </x:c>
      <x:c r="S29" s="13" t="n">
        <x:v>6</x:v>
      </x:c>
    </x:row>
    <x:row r="30" ht="60" customHeight="1">
      <x:c r="A30" s="13" t="str">
        <x:v>E023</x:v>
      </x:c>
      <x:c r="B30" s="13" t="str">
        <x:v>Phil</x:v>
      </x:c>
      <x:c r="C30" s="14" t="n">
        <x:v>46276</x:v>
      </x:c>
      <x:c r="D30" s="13" t="n">
        <x:v>291</x:v>
      </x:c>
      <x:c r="E30" s="15" t="n">
        <x:v>0.6561226851851852</x:v>
      </x:c>
      <x:c r="F30" s="16" t="str">
        <x:v>14590111</x:v>
      </x:c>
      <x:c r="G30" s="13" t="n">
        <x:v>292</x:v>
      </x:c>
      <x:c r="H30" s="15" t="n">
        <x:v>0.6561689814814815</x:v>
      </x:c>
      <x:c r="I30" s="17" t="n">
        <x:f>ROUND((H30-E30)*86400,0)</x:f>
        <x:v>4</x:v>
      </x:c>
      <x:c r="J30" s="16" t="str">
        <x:v>14590126</x:v>
      </x:c>
      <x:c r="K30" s="13" t="str">
        <x:v>Thanks, [Bill/Phil?].</x:v>
      </x:c>
      <x:c r="L30" s="13" t="str">
        <x:v>No problem.</x:v>
      </x:c>
      <x:c r="M30" s="13" t="str">
        <x:v>Transcript association</x:v>
      </x:c>
      <x:c r="N30" s="13" t="str">
        <x:v>Phil is not a unique first name on the roster; Philip Valadez is a candidate because of a separate Valadez hail.</x:v>
      </x:c>
      <x:c r="O30" s="18" t="str">
        <x:v>Not reviewed</x:v>
      </x:c>
      <x:c r="P30" s="19" t="str">
        <x:v>https://afpd-accountability.com/records/openmhz/openmhz-afpd-car-to-car-2026-09-11/dcfems-6001-1789163089.m4a</x:v>
      </x:c>
      <x:c r="Q30" s="19" t="str">
        <x:v>https://afpd-accountability.com/records/openmhz/openmhz-afpd-car-to-car-2026-09-11/dcfems-6001-1789163093.m4a</x:v>
      </x:c>
      <x:c r="R30" s="19" t="str">
        <x:v>https://afpd-accountability.com/police-radio/?date=2026-09-11</x:v>
      </x:c>
      <x:c r="S30" s="13" t="n">
        <x:v>4</x:v>
      </x:c>
    </x:row>
    <x:row r="31" ht="60" customHeight="1">
      <x:c r="A31" s="13" t="str">
        <x:v>E024</x:v>
      </x:c>
      <x:c r="B31" s="13" t="str">
        <x:v>Hawkins</x:v>
      </x:c>
      <x:c r="C31" s="14" t="n">
        <x:v>46276</x:v>
      </x:c>
      <x:c r="D31" s="13" t="n">
        <x:v>322</x:v>
      </x:c>
      <x:c r="E31" s="15" t="n">
        <x:v>0.789212962962963</x:v>
      </x:c>
      <x:c r="F31" s="16" t="str">
        <x:v>14590345</x:v>
      </x:c>
      <x:c r="G31" s="13" t="n">
        <x:v>323</x:v>
      </x:c>
      <x:c r="H31" s="15" t="n">
        <x:v>0.7892476851851852</x:v>
      </x:c>
      <x:c r="I31" s="17" t="n">
        <x:f>ROUND((H31-E31)*86400,0)</x:f>
        <x:v>3</x:v>
      </x:c>
      <x:c r="J31" s="16" t="str">
        <x:v>14590107</x:v>
      </x:c>
      <x:c r="K31" s="13" t="str">
        <x:v>Hey, [Hawkins?], you on here?</x:v>
      </x:c>
      <x:c r="L31" s="13" t="str">
        <x:v>Yeah, go ahead.</x:v>
      </x:c>
      <x:c r="M31" s="13" t="str">
        <x:v>Transcript association</x:v>
      </x:c>
      <x:c r="N31" s="13" t="str"/>
      <x:c r="O31" s="18" t="str">
        <x:v>Not reviewed</x:v>
      </x:c>
      <x:c r="P31" s="19" t="str">
        <x:v>https://afpd-accountability.com/records/openmhz/openmhz-afpd-car-to-car-2026-09-11/dcfems-6001-1789174588.m4a</x:v>
      </x:c>
      <x:c r="Q31" s="19" t="str">
        <x:v>https://afpd-accountability.com/records/openmhz/openmhz-afpd-car-to-car-2026-09-11/dcfems-6001-1789174591.m4a</x:v>
      </x:c>
      <x:c r="R31" s="19" t="str">
        <x:v>https://afpd-accountability.com/police-radio/?date=2026-09-11</x:v>
      </x:c>
      <x:c r="S31" s="13" t="n">
        <x:v>3</x:v>
      </x:c>
    </x:row>
    <x:row r="32" ht="60" customHeight="1">
      <x:c r="A32" s="13" t="str">
        <x:v>E025</x:v>
      </x:c>
      <x:c r="B32" s="13" t="str">
        <x:v>Hawkins</x:v>
      </x:c>
      <x:c r="C32" s="14" t="n">
        <x:v>46276</x:v>
      </x:c>
      <x:c r="D32" s="13" t="n">
        <x:v>329</x:v>
      </x:c>
      <x:c r="E32" s="15" t="n">
        <x:v>0.7920833333333334</x:v>
      </x:c>
      <x:c r="F32" s="16" t="str">
        <x:v>14590038</x:v>
      </x:c>
      <x:c r="G32" s="13" t="n">
        <x:v>330</x:v>
      </x:c>
      <x:c r="H32" s="15" t="n">
        <x:v>0.7921527777777778</x:v>
      </x:c>
      <x:c r="I32" s="17" t="n">
        <x:f>ROUND((H32-E32)*86400,0)</x:f>
        <x:v>6</x:v>
      </x:c>
      <x:c r="J32" s="16" t="str">
        <x:v>14590107</x:v>
      </x:c>
      <x:c r="K32" s="13" t="str">
        <x:v>Hey, negative contact. [Unclear] Hawkins, you can [turn too?].</x:v>
      </x:c>
      <x:c r="L32" s="13" t="str">
        <x:v>Sounds good.</x:v>
      </x:c>
      <x:c r="M32" s="13" t="str">
        <x:v>Transcript association</x:v>
      </x:c>
      <x:c r="N32" s="13" t="str"/>
      <x:c r="O32" s="18" t="str">
        <x:v>Not reviewed</x:v>
      </x:c>
      <x:c r="P32" s="19" t="str">
        <x:v>https://afpd-accountability.com/records/openmhz/openmhz-afpd-car-to-car-2026-09-11/dcfems-6001-1789174836.m4a</x:v>
      </x:c>
      <x:c r="Q32" s="19" t="str">
        <x:v>https://afpd-accountability.com/records/openmhz/openmhz-afpd-car-to-car-2026-09-11/dcfems-6001-1789174842.m4a</x:v>
      </x:c>
      <x:c r="R32" s="19" t="str">
        <x:v>https://afpd-accountability.com/police-radio/?date=2026-09-11</x:v>
      </x:c>
      <x:c r="S32" s="13" t="n">
        <x:v>6</x:v>
      </x:c>
    </x:row>
    <x:row r="33" ht="60" customHeight="1">
      <x:c r="A33" s="13" t="str">
        <x:v>E026</x:v>
      </x:c>
      <x:c r="B33" s="13" t="str">
        <x:v>Hawkins</x:v>
      </x:c>
      <x:c r="C33" s="14" t="n">
        <x:v>46276</x:v>
      </x:c>
      <x:c r="D33" s="13" t="n">
        <x:v>334</x:v>
      </x:c>
      <x:c r="E33" s="15" t="n">
        <x:v>0.7998148148148149</x:v>
      </x:c>
      <x:c r="F33" s="16" t="str">
        <x:v>14590098</x:v>
      </x:c>
      <x:c r="G33" s="13" t="n">
        <x:v>335</x:v>
      </x:c>
      <x:c r="H33" s="15" t="n">
        <x:v>0.7998958333333334</x:v>
      </x:c>
      <x:c r="I33" s="17" t="n">
        <x:f>ROUND((H33-E33)*86400,0)</x:f>
        <x:v>7</x:v>
      </x:c>
      <x:c r="J33" s="16" t="str">
        <x:v>14590036</x:v>
      </x:c>
      <x:c r="K33" s="13" t="str">
        <x:v>[Hawkins?], you need help?</x:v>
      </x:c>
      <x:c r="L33" s="13" t="str">
        <x:v>Not yet, I’m just gathering info right now.</x:v>
      </x:c>
      <x:c r="M33" s="13" t="str">
        <x:v>Conflicting names on this ID</x:v>
      </x:c>
      <x:c r="N33" s="13" t="str">
        <x:v>14590036 also answers hails to Mitch. Keep this as an exchange-level association.</x:v>
      </x:c>
      <x:c r="O33" s="18" t="str">
        <x:v>Not reviewed</x:v>
      </x:c>
      <x:c r="P33" s="19" t="str">
        <x:v>https://afpd-accountability.com/records/openmhz/openmhz-afpd-car-to-car-2026-09-11/dcfems-6001-1789175504.m4a</x:v>
      </x:c>
      <x:c r="Q33" s="19" t="str">
        <x:v>https://afpd-accountability.com/records/openmhz/openmhz-afpd-car-to-car-2026-09-11/dcfems-6001-1789175511.m4a</x:v>
      </x:c>
      <x:c r="R33" s="19" t="str">
        <x:v>https://afpd-accountability.com/police-radio/?date=2026-09-11</x:v>
      </x:c>
      <x:c r="S33" s="13" t="n">
        <x:v>7</x:v>
      </x:c>
    </x:row>
    <x:row r="34" ht="60" customHeight="1">
      <x:c r="A34" s="13" t="str">
        <x:v>E027</x:v>
      </x:c>
      <x:c r="B34" s="13" t="str">
        <x:v>Greg</x:v>
      </x:c>
      <x:c r="C34" s="14" t="n">
        <x:v>46276</x:v>
      </x:c>
      <x:c r="D34" s="13" t="n">
        <x:v>381</x:v>
      </x:c>
      <x:c r="E34" s="15" t="n">
        <x:v>0.8850462962962963</x:v>
      </x:c>
      <x:c r="F34" s="16" t="str">
        <x:v>14590313</x:v>
      </x:c>
      <x:c r="G34" s="13" t="n">
        <x:v>382</x:v>
      </x:c>
      <x:c r="H34" s="15" t="n">
        <x:v>0.8850925925925925</x:v>
      </x:c>
      <x:c r="I34" s="17" t="n">
        <x:f>ROUND((H34-E34)*86400,0)</x:f>
        <x:v>4</x:v>
      </x:c>
      <x:c r="J34" s="16" t="str">
        <x:v>14590098</x:v>
      </x:c>
      <x:c r="K34" s="13" t="str">
        <x:v>Hey, Greg, do you have your food already?</x:v>
      </x:c>
      <x:c r="L34" s="13" t="str">
        <x:v>Yes, sir. Go over to Costa Vida and grab you one.</x:v>
      </x:c>
      <x:c r="M34" s="13" t="str">
        <x:v>Transcript association</x:v>
      </x:c>
      <x:c r="N34" s="13" t="str"/>
      <x:c r="O34" s="18" t="str">
        <x:v>Not reviewed</x:v>
      </x:c>
      <x:c r="P34" s="19" t="str">
        <x:v>https://afpd-accountability.com/records/openmhz/openmhz-afpd-car-to-car-2026-09-11/dcfems-6001-1789182868.m4a</x:v>
      </x:c>
      <x:c r="Q34" s="19" t="str">
        <x:v>https://afpd-accountability.com/records/openmhz/openmhz-afpd-car-to-car-2026-09-11/dcfems-6001-1789182872.m4a</x:v>
      </x:c>
      <x:c r="R34" s="19" t="str">
        <x:v>https://afpd-accountability.com/police-radio/?date=2026-09-11</x:v>
      </x:c>
      <x:c r="S34" s="13" t="n">
        <x:v>4</x:v>
      </x:c>
    </x:row>
    <x:row r="35" ht="60" customHeight="1">
      <x:c r="A35" s="13" t="str">
        <x:v>E028</x:v>
      </x:c>
      <x:c r="B35" s="13" t="str">
        <x:v>Cox</x:v>
      </x:c>
      <x:c r="C35" s="14" t="n">
        <x:v>46276</x:v>
      </x:c>
      <x:c r="D35" s="13" t="n">
        <x:v>396</x:v>
      </x:c>
      <x:c r="E35" s="15" t="n">
        <x:v>0.931863425925926</x:v>
      </x:c>
      <x:c r="F35" s="16" t="str">
        <x:v>14590313</x:v>
      </x:c>
      <x:c r="G35" s="13" t="n">
        <x:v>397</x:v>
      </x:c>
      <x:c r="H35" s="15" t="n">
        <x:v>0.9319097222222222</x:v>
      </x:c>
      <x:c r="I35" s="17" t="n">
        <x:f>ROUND((H35-E35)*86400,0)</x:f>
        <x:v>4</x:v>
      </x:c>
      <x:c r="J35" s="16" t="str">
        <x:v>14580155</x:v>
      </x:c>
      <x:c r="K35" s="13" t="str">
        <x:v>[Cox?], what’s your 20?</x:v>
      </x:c>
      <x:c r="L35" s="13" t="str">
        <x:v>I’m just in the In-N-Out parking lot.</x:v>
      </x:c>
      <x:c r="M35" s="13" t="str">
        <x:v>Transcript association</x:v>
      </x:c>
      <x:c r="N35" s="13" t="str"/>
      <x:c r="O35" s="18" t="str">
        <x:v>Not reviewed</x:v>
      </x:c>
      <x:c r="P35" s="19" t="str">
        <x:v>https://afpd-accountability.com/records/openmhz/openmhz-afpd-car-to-car-2026-09-11/dcfems-6001-1789186913.m4a</x:v>
      </x:c>
      <x:c r="Q35" s="19" t="str">
        <x:v>https://afpd-accountability.com/records/openmhz/openmhz-afpd-car-to-car-2026-09-11/dcfems-6001-1789186917.m4a</x:v>
      </x:c>
      <x:c r="R35" s="19" t="str">
        <x:v>https://afpd-accountability.com/police-radio/?date=2026-09-11</x:v>
      </x:c>
      <x:c r="S35" s="13" t="n">
        <x:v>4</x:v>
      </x:c>
    </x:row>
    <x:row r="36" ht="60" customHeight="1">
      <x:c r="A36" s="13" t="str">
        <x:v>E029</x:v>
      </x:c>
      <x:c r="B36" s="13" t="str">
        <x:v>Hawkins</x:v>
      </x:c>
      <x:c r="C36" s="14" t="n">
        <x:v>46276</x:v>
      </x:c>
      <x:c r="D36" s="13" t="n">
        <x:v>430</x:v>
      </x:c>
      <x:c r="E36" s="15" t="n">
        <x:v>0.9407407407407408</x:v>
      </x:c>
      <x:c r="F36" s="16" t="str">
        <x:v>14590313</x:v>
      </x:c>
      <x:c r="G36" s="13" t="n">
        <x:v>431</x:v>
      </x:c>
      <x:c r="H36" s="15" t="n">
        <x:v>0.9408217592592593</x:v>
      </x:c>
      <x:c r="I36" s="17" t="n">
        <x:f>ROUND((H36-E36)*86400,0)</x:f>
        <x:v>7</x:v>
      </x:c>
      <x:c r="J36" s="16" t="str">
        <x:v>14590107</x:v>
      </x:c>
      <x:c r="K36" s="13" t="str">
        <x:v>I’m at the gas station now. I got you, [Hawkins?].</x:v>
      </x:c>
      <x:c r="L36" s="13" t="str">
        <x:v>Remember, there's a timer. Just kidding. Thanks, man.</x:v>
      </x:c>
      <x:c r="M36" s="13" t="str">
        <x:v>Transcript association</x:v>
      </x:c>
      <x:c r="N36" s="13" t="str"/>
      <x:c r="O36" s="18" t="str">
        <x:v>Not reviewed</x:v>
      </x:c>
      <x:c r="P36" s="19" t="str">
        <x:v>https://afpd-accountability.com/records/openmhz/openmhz-afpd-car-to-car-2026-09-11/dcfems-6001-1789187680.m4a</x:v>
      </x:c>
      <x:c r="Q36" s="19" t="str">
        <x:v>https://afpd-accountability.com/records/openmhz/openmhz-afpd-car-to-car-2026-09-11/dcfems-6001-1789187687.m4a</x:v>
      </x:c>
      <x:c r="R36" s="19" t="str">
        <x:v>https://afpd-accountability.com/police-radio/?date=2026-09-11</x:v>
      </x:c>
      <x:c r="S36" s="13" t="n">
        <x:v>7</x:v>
      </x:c>
    </x:row>
    <x:row r="37" ht="60" customHeight="1">
      <x:c r="A37" s="13" t="str">
        <x:v>E030</x:v>
      </x:c>
      <x:c r="B37" s="13" t="str">
        <x:v>Greg</x:v>
      </x:c>
      <x:c r="C37" s="14" t="n">
        <x:v>46276</x:v>
      </x:c>
      <x:c r="D37" s="13" t="n">
        <x:v>445</x:v>
      </x:c>
      <x:c r="E37" s="15" t="n">
        <x:v>0.9461574074074074</x:v>
      </x:c>
      <x:c r="F37" s="16" t="str">
        <x:v>14590313</x:v>
      </x:c>
      <x:c r="G37" s="13" t="n">
        <x:v>446</x:v>
      </x:c>
      <x:c r="H37" s="15" t="n">
        <x:v>0.9462152777777778</x:v>
      </x:c>
      <x:c r="I37" s="17" t="n">
        <x:f>ROUND((H37-E37)*86400,0)</x:f>
        <x:v>5</x:v>
      </x:c>
      <x:c r="J37" s="16" t="str">
        <x:v>14590098</x:v>
      </x:c>
      <x:c r="K37" s="13" t="str">
        <x:v>Hey Greg, I'm about eight mics out.</x:v>
      </x:c>
      <x:c r="L37" s="13" t="str">
        <x:v>Okay, I’m just about to 300 West and Main, so I’m not too far ahead of you.</x:v>
      </x:c>
      <x:c r="M37" s="13" t="str">
        <x:v>Transcript association</x:v>
      </x:c>
      <x:c r="N37" s="13" t="str"/>
      <x:c r="O37" s="18" t="str">
        <x:v>Not reviewed</x:v>
      </x:c>
      <x:c r="P37" s="19" t="str">
        <x:v>https://afpd-accountability.com/records/openmhz/openmhz-afpd-car-to-car-2026-09-11/dcfems-6001-1789188148.m4a</x:v>
      </x:c>
      <x:c r="Q37" s="19" t="str">
        <x:v>https://afpd-accountability.com/records/openmhz/openmhz-afpd-car-to-car-2026-09-11/dcfems-6001-1789188153.m4a</x:v>
      </x:c>
      <x:c r="R37" s="19" t="str">
        <x:v>https://afpd-accountability.com/police-radio/?date=2026-09-11</x:v>
      </x:c>
      <x:c r="S37" s="13" t="n">
        <x:v>5</x:v>
      </x:c>
    </x:row>
    <x:row r="38" ht="60" customHeight="1">
      <x:c r="A38" s="13" t="str">
        <x:v>E031</x:v>
      </x:c>
      <x:c r="B38" s="13" t="str">
        <x:v>Hawkins</x:v>
      </x:c>
      <x:c r="C38" s="14" t="n">
        <x:v>46276</x:v>
      </x:c>
      <x:c r="D38" s="13" t="n">
        <x:v>449</x:v>
      </x:c>
      <x:c r="E38" s="15" t="n">
        <x:v>0.9464467592592593</x:v>
      </x:c>
      <x:c r="F38" s="16" t="str">
        <x:v>14590313</x:v>
      </x:c>
      <x:c r="G38" s="13" t="n">
        <x:v>450</x:v>
      </x:c>
      <x:c r="H38" s="15" t="n">
        <x:v>0.9465162037037037</x:v>
      </x:c>
      <x:c r="I38" s="17" t="n">
        <x:f>ROUND((H38-E38)*86400,0)</x:f>
        <x:v>6</x:v>
      </x:c>
      <x:c r="J38" s="16" t="str">
        <x:v>14590107</x:v>
      </x:c>
      <x:c r="K38" s="13" t="str">
        <x:v>Hey, Hawkins, what side of Macey’s are you on?</x:v>
      </x:c>
      <x:c r="L38" s="13" t="str">
        <x:v>[Unclear location reply.]</x:v>
      </x:c>
      <x:c r="M38" s="13" t="str">
        <x:v>Transcript association</x:v>
      </x:c>
      <x:c r="N38" s="13" t="str"/>
      <x:c r="O38" s="18" t="str">
        <x:v>Not reviewed</x:v>
      </x:c>
      <x:c r="P38" s="19" t="str">
        <x:v>https://afpd-accountability.com/records/openmhz/openmhz-afpd-car-to-car-2026-09-11/dcfems-6001-1789188173.m4a</x:v>
      </x:c>
      <x:c r="Q38" s="19" t="str">
        <x:v>https://afpd-accountability.com/records/openmhz/openmhz-afpd-car-to-car-2026-09-11/dcfems-6001-1789188179.m4a</x:v>
      </x:c>
      <x:c r="R38" s="19" t="str">
        <x:v>https://afpd-accountability.com/police-radio/?date=2026-09-11</x:v>
      </x:c>
      <x:c r="S38" s="13" t="n">
        <x:v>6</x:v>
      </x:c>
    </x:row>
    <x:row r="39" ht="60" customHeight="1">
      <x:c r="A39" s="13" t="str">
        <x:v>E032</x:v>
      </x:c>
      <x:c r="B39" s="13" t="str">
        <x:v>Hawkins</x:v>
      </x:c>
      <x:c r="C39" s="14" t="n">
        <x:v>46276</x:v>
      </x:c>
      <x:c r="D39" s="13" t="n">
        <x:v>452</x:v>
      </x:c>
      <x:c r="E39" s="15" t="n">
        <x:v>0.9498958333333334</x:v>
      </x:c>
      <x:c r="F39" s="16" t="str">
        <x:v>14590345</x:v>
      </x:c>
      <x:c r="G39" s="13" t="n">
        <x:v>453</x:v>
      </x:c>
      <x:c r="H39" s="15" t="n">
        <x:v>0.9500231481481481</x:v>
      </x:c>
      <x:c r="I39" s="17" t="n">
        <x:f>ROUND((H39-E39)*86400,0)</x:f>
        <x:v>11</x:v>
      </x:c>
      <x:c r="J39" s="16" t="str">
        <x:v>14590107</x:v>
      </x:c>
      <x:c r="K39" s="13" t="str">
        <x:v>Hey, Hawkins, I’m on 200 East now, just east of [Whistle Wok?].</x:v>
      </x:c>
      <x:c r="L39" s="13" t="str">
        <x:v>[Unclear opening.] Good sight, then. Good sight.</x:v>
      </x:c>
      <x:c r="M39" s="13" t="str">
        <x:v>Transcript association</x:v>
      </x:c>
      <x:c r="N39" s="13" t="str"/>
      <x:c r="O39" s="18" t="str">
        <x:v>Not reviewed</x:v>
      </x:c>
      <x:c r="P39" s="19" t="str">
        <x:v>https://afpd-accountability.com/records/openmhz/openmhz-afpd-car-to-car-2026-09-11/dcfems-6001-1789188471.m4a</x:v>
      </x:c>
      <x:c r="Q39" s="19" t="str">
        <x:v>https://afpd-accountability.com/records/openmhz/openmhz-afpd-car-to-car-2026-09-11/dcfems-6001-1789188482.m4a</x:v>
      </x:c>
      <x:c r="R39" s="19" t="str">
        <x:v>https://afpd-accountability.com/police-radio/?date=2026-09-11</x:v>
      </x:c>
      <x:c r="S39" s="13" t="n">
        <x:v>11</x:v>
      </x:c>
    </x:row>
    <x:row r="40" ht="60" customHeight="1">
      <x:c r="A40" s="13" t="str">
        <x:v>E033</x:v>
      </x:c>
      <x:c r="B40" s="13" t="str">
        <x:v>Greg</x:v>
      </x:c>
      <x:c r="C40" s="14" t="n">
        <x:v>46276</x:v>
      </x:c>
      <x:c r="D40" s="13" t="n">
        <x:v>454</x:v>
      </x:c>
      <x:c r="E40" s="15" t="n">
        <x:v>0.950150462962963</x:v>
      </x:c>
      <x:c r="F40" s="16" t="str">
        <x:v>14590313</x:v>
      </x:c>
      <x:c r="G40" s="13" t="n">
        <x:v>455</x:v>
      </x:c>
      <x:c r="H40" s="15" t="n">
        <x:v>0.9502546296296296</x:v>
      </x:c>
      <x:c r="I40" s="17" t="n">
        <x:f>ROUND((H40-E40)*86400,0)</x:f>
        <x:v>9</x:v>
      </x:c>
      <x:c r="J40" s="16" t="str">
        <x:v>14590098</x:v>
      </x:c>
      <x:c r="K40" s="13" t="str">
        <x:v>Greg, I’m coming down 300 West, about to hit 200 South.</x:v>
      </x:c>
      <x:c r="L40" s="13" t="str">
        <x:v>No worries.</x:v>
      </x:c>
      <x:c r="M40" s="13" t="str">
        <x:v>Transcript association</x:v>
      </x:c>
      <x:c r="N40" s="13" t="str"/>
      <x:c r="O40" s="18" t="str">
        <x:v>Not reviewed</x:v>
      </x:c>
      <x:c r="P40" s="19" t="str">
        <x:v>https://afpd-accountability.com/records/openmhz/openmhz-afpd-car-to-car-2026-09-11/dcfems-6001-1789188493.m4a</x:v>
      </x:c>
      <x:c r="Q40" s="19" t="str">
        <x:v>https://afpd-accountability.com/records/openmhz/openmhz-afpd-car-to-car-2026-09-11/dcfems-6001-1789188502.m4a</x:v>
      </x:c>
      <x:c r="R40" s="19" t="str">
        <x:v>https://afpd-accountability.com/police-radio/?date=2026-09-11</x:v>
      </x:c>
      <x:c r="S40" s="13" t="n">
        <x:v>9</x:v>
      </x:c>
    </x:row>
    <x:row r="41" ht="60" customHeight="1">
      <x:c r="A41" s="13" t="str">
        <x:v>E034</x:v>
      </x:c>
      <x:c r="B41" s="13" t="str">
        <x:v>Greg</x:v>
      </x:c>
      <x:c r="C41" s="14" t="n">
        <x:v>46276</x:v>
      </x:c>
      <x:c r="D41" s="13" t="n">
        <x:v>460</x:v>
      </x:c>
      <x:c r="E41" s="15" t="n">
        <x:v>0.9527777777777777</x:v>
      </x:c>
      <x:c r="F41" s="16" t="str">
        <x:v>14590313</x:v>
      </x:c>
      <x:c r="G41" s="13" t="n">
        <x:v>461</x:v>
      </x:c>
      <x:c r="H41" s="15" t="n">
        <x:v>0.9528240740740741</x:v>
      </x:c>
      <x:c r="I41" s="17" t="n">
        <x:f>ROUND((H41-E41)*86400,0)</x:f>
        <x:v>4</x:v>
      </x:c>
      <x:c r="J41" s="16" t="str">
        <x:v>14590026</x:v>
      </x:c>
      <x:c r="K41" s="13" t="str">
        <x:v>[Greg?]</x:v>
      </x:c>
      <x:c r="L41" s="13" t="str">
        <x:v>Yes.</x:v>
      </x:c>
      <x:c r="M41" s="13" t="str">
        <x:v>Single-day candidate</x:v>
      </x:c>
      <x:c r="N41" s="13" t="str">
        <x:v>Brief uncertain hail; most other Greg replies use 14590098. Do not assume 14590026 is Greg on other days.</x:v>
      </x:c>
      <x:c r="O41" s="18" t="str">
        <x:v>Not reviewed</x:v>
      </x:c>
      <x:c r="P41" s="19" t="str">
        <x:v>https://afpd-accountability.com/records/openmhz/openmhz-afpd-car-to-car-2026-09-11/dcfems-6001-1789188720.m4a</x:v>
      </x:c>
      <x:c r="Q41" s="19" t="str">
        <x:v>https://afpd-accountability.com/records/openmhz/openmhz-afpd-car-to-car-2026-09-11/dcfems-6001-1789188724.m4a</x:v>
      </x:c>
      <x:c r="R41" s="19" t="str">
        <x:v>https://afpd-accountability.com/police-radio/?date=2026-09-11</x:v>
      </x:c>
      <x:c r="S41" s="13" t="n">
        <x:v>4</x:v>
      </x:c>
    </x:row>
    <x:row r="42" ht="60" customHeight="1">
      <x:c r="A42" s="13" t="str">
        <x:v>E035</x:v>
      </x:c>
      <x:c r="B42" s="13" t="str">
        <x:v>Tonga</x:v>
      </x:c>
      <x:c r="C42" s="14" t="n">
        <x:v>46276</x:v>
      </x:c>
      <x:c r="D42" s="13" t="n">
        <x:v>477</x:v>
      </x:c>
      <x:c r="E42" s="15" t="n">
        <x:v>0.9586921296296296</x:v>
      </x:c>
      <x:c r="F42" s="16" t="str">
        <x:v>14590107</x:v>
      </x:c>
      <x:c r="G42" s="13" t="n">
        <x:v>478</x:v>
      </x:c>
      <x:c r="H42" s="15" t="n">
        <x:v>0.958761574074074</x:v>
      </x:c>
      <x:c r="I42" s="17" t="n">
        <x:f>ROUND((H42-E42)*86400,0)</x:f>
        <x:v>6</x:v>
      </x:c>
      <x:c r="J42" s="16" t="str">
        <x:v>14590345</x:v>
      </x:c>
      <x:c r="K42" s="13" t="str">
        <x:v>All right, [Tonga?], get ready.</x:v>
      </x:c>
      <x:c r="L42" s="13" t="str">
        <x:v>[I’m ready?]</x:v>
      </x:c>
      <x:c r="M42" s="13" t="str">
        <x:v>Transcript association</x:v>
      </x:c>
      <x:c r="N42" s="13" t="str"/>
      <x:c r="O42" s="18" t="str">
        <x:v>Not reviewed</x:v>
      </x:c>
      <x:c r="P42" s="19" t="str">
        <x:v>https://afpd-accountability.com/records/openmhz/openmhz-afpd-car-to-car-2026-09-11/dcfems-6001-1789189231.m4a</x:v>
      </x:c>
      <x:c r="Q42" s="19" t="str">
        <x:v>https://afpd-accountability.com/records/openmhz/openmhz-afpd-car-to-car-2026-09-11/dcfems-6001-1789189237.m4a</x:v>
      </x:c>
      <x:c r="R42" s="19" t="str">
        <x:v>https://afpd-accountability.com/police-radio/?date=2026-09-11</x:v>
      </x:c>
      <x:c r="S42" s="13" t="n">
        <x:v>6</x:v>
      </x:c>
    </x:row>
    <x:row r="43" ht="60" customHeight="1">
      <x:c r="A43" s="13" t="str">
        <x:v>E036</x:v>
      </x:c>
      <x:c r="B43" s="13" t="str">
        <x:v>Cox</x:v>
      </x:c>
      <x:c r="C43" s="14" t="n">
        <x:v>46276</x:v>
      </x:c>
      <x:c r="D43" s="13" t="n">
        <x:v>495</x:v>
      </x:c>
      <x:c r="E43" s="15" t="n">
        <x:v>0.9623958333333333</x:v>
      </x:c>
      <x:c r="F43" s="16" t="str">
        <x:v>14590107</x:v>
      </x:c>
      <x:c r="G43" s="13" t="n">
        <x:v>497</x:v>
      </x:c>
      <x:c r="H43" s="15" t="n">
        <x:v>0.9624537037037038</x:v>
      </x:c>
      <x:c r="I43" s="17" t="n">
        <x:f>ROUND((H43-E43)*86400,0)</x:f>
        <x:v>5</x:v>
      </x:c>
      <x:c r="J43" s="16" t="str">
        <x:v>14590020</x:v>
      </x:c>
      <x:c r="K43" s="13" t="str">
        <x:v>[Cox?], do you remember what headlight it was [unclear ending]?</x:v>
      </x:c>
      <x:c r="L43" s="13" t="str">
        <x:v>It was the right one, but if it’s for DUI, I would bank on something else. I would find something of yours. I don’t want to give you some information if it was just a little dim.</x:v>
      </x:c>
      <x:c r="M43" s="13" t="str">
        <x:v>Transcript association</x:v>
      </x:c>
      <x:c r="N43" s="13" t="str"/>
      <x:c r="O43" s="18" t="str">
        <x:v>Not reviewed</x:v>
      </x:c>
      <x:c r="P43" s="19" t="str">
        <x:v>https://afpd-accountability.com/records/openmhz/openmhz-afpd-car-to-car-2026-09-11/dcfems-6001-1789189551.m4a</x:v>
      </x:c>
      <x:c r="Q43" s="19" t="str">
        <x:v>https://afpd-accountability.com/records/openmhz/openmhz-afpd-car-to-car-2026-09-11/dcfems-6001-1789189556.m4a</x:v>
      </x:c>
      <x:c r="R43" s="19" t="str">
        <x:v>https://afpd-accountability.com/police-radio/?date=2026-09-11</x:v>
      </x:c>
      <x:c r="S43" s="13" t="n">
        <x:v>5</x:v>
      </x:c>
    </x:row>
    <x:row r="44" ht="60" customHeight="1">
      <x:c r="A44" s="13" t="str">
        <x:v>E037</x:v>
      </x:c>
      <x:c r="B44" s="13" t="str">
        <x:v>Tonga</x:v>
      </x:c>
      <x:c r="C44" s="14" t="n">
        <x:v>46276</x:v>
      </x:c>
      <x:c r="D44" s="13" t="n">
        <x:v>510</x:v>
      </x:c>
      <x:c r="E44" s="15" t="n">
        <x:v>0.9702893518518518</x:v>
      </x:c>
      <x:c r="F44" s="16" t="str">
        <x:v>14590098</x:v>
      </x:c>
      <x:c r="G44" s="13" t="n">
        <x:v>511</x:v>
      </x:c>
      <x:c r="H44" s="15" t="n">
        <x:v>0.9703356481481481</x:v>
      </x:c>
      <x:c r="I44" s="17" t="n">
        <x:f>ROUND((H44-E44)*86400,0)</x:f>
        <x:v>4</x:v>
      </x:c>
      <x:c r="J44" s="16" t="str">
        <x:v>14590345</x:v>
      </x:c>
      <x:c r="K44" s="13" t="str">
        <x:v>[Tonga?], what you got?</x:v>
      </x:c>
      <x:c r="L44" s="13" t="str">
        <x:v>[Unclear short reply.]</x:v>
      </x:c>
      <x:c r="M44" s="13" t="str">
        <x:v>Transcript association</x:v>
      </x:c>
      <x:c r="N44" s="13" t="str"/>
      <x:c r="O44" s="18" t="str">
        <x:v>Not reviewed</x:v>
      </x:c>
      <x:c r="P44" s="19" t="str">
        <x:v>https://afpd-accountability.com/records/openmhz/openmhz-afpd-car-to-car-2026-09-11/dcfems-6001-1789190233.m4a</x:v>
      </x:c>
      <x:c r="Q44" s="19" t="str">
        <x:v>https://afpd-accountability.com/records/openmhz/openmhz-afpd-car-to-car-2026-09-11/dcfems-6001-1789190237.m4a</x:v>
      </x:c>
      <x:c r="R44" s="19" t="str">
        <x:v>https://afpd-accountability.com/police-radio/?date=2026-09-11</x:v>
      </x:c>
      <x:c r="S44" s="13" t="n">
        <x:v>4</x:v>
      </x:c>
    </x:row>
    <x:row r="45" ht="60" customHeight="1">
      <x:c r="A45" s="13" t="str">
        <x:v>E038</x:v>
      </x:c>
      <x:c r="B45" s="13" t="str">
        <x:v>Greg</x:v>
      </x:c>
      <x:c r="C45" s="14" t="n">
        <x:v>46276</x:v>
      </x:c>
      <x:c r="D45" s="13" t="n">
        <x:v>537</x:v>
      </x:c>
      <x:c r="E45" s="15" t="n">
        <x:v>0.9865046296296296</x:v>
      </x:c>
      <x:c r="F45" s="16" t="str">
        <x:v>14590107</x:v>
      </x:c>
      <x:c r="G45" s="13" t="n">
        <x:v>538</x:v>
      </x:c>
      <x:c r="H45" s="15" t="n">
        <x:v>0.9865393518518518</x:v>
      </x:c>
      <x:c r="I45" s="17" t="n">
        <x:f>ROUND((H45-E45)*86400,0)</x:f>
        <x:v>3</x:v>
      </x:c>
      <x:c r="J45" s="16" t="str">
        <x:v>14590098</x:v>
      </x:c>
      <x:c r="K45" s="13" t="str">
        <x:v>Do you need another, Greg, or are you good?</x:v>
      </x:c>
      <x:c r="L45" s="13" t="str">
        <x:v>No, I’m good. He’s just leaving. He just wanted to argue with me about needing a muffler. Can you hear that thing?</x:v>
      </x:c>
      <x:c r="M45" s="13" t="str">
        <x:v>Transcript association</x:v>
      </x:c>
      <x:c r="N45" s="13" t="str"/>
      <x:c r="O45" s="18" t="str">
        <x:v>Not reviewed</x:v>
      </x:c>
      <x:c r="P45" s="19" t="str">
        <x:v>https://afpd-accountability.com/records/openmhz/openmhz-afpd-car-to-car-2026-09-11/dcfems-6001-1789191634.m4a</x:v>
      </x:c>
      <x:c r="Q45" s="19" t="str">
        <x:v>https://afpd-accountability.com/records/openmhz/openmhz-afpd-car-to-car-2026-09-11/dcfems-6001-1789191637.m4a</x:v>
      </x:c>
      <x:c r="R45" s="19" t="str">
        <x:v>https://afpd-accountability.com/police-radio/?date=2026-09-11</x:v>
      </x:c>
      <x:c r="S45" s="13" t="n">
        <x:v>3</x:v>
      </x:c>
    </x:row>
    <x:row r="46" ht="60" customHeight="1">
      <x:c r="A46" s="13" t="str">
        <x:v>E039</x:v>
      </x:c>
      <x:c r="B46" s="13" t="str">
        <x:v>Mitch</x:v>
      </x:c>
      <x:c r="C46" s="14" t="n">
        <x:v>46277</x:v>
      </x:c>
      <x:c r="D46" s="13" t="n">
        <x:v>29</x:v>
      </x:c>
      <x:c r="E46" s="15" t="n">
        <x:v>0.13751157407407408</x:v>
      </x:c>
      <x:c r="F46" s="16" t="str">
        <x:v>14590038</x:v>
      </x:c>
      <x:c r="G46" s="13" t="n">
        <x:v>30</x:v>
      </x:c>
      <x:c r="H46" s="15" t="n">
        <x:v>0.13755787037037037</x:v>
      </x:c>
      <x:c r="I46" s="17" t="n">
        <x:f>ROUND((H46-E46)*86400,0)</x:f>
        <x:v>4</x:v>
      </x:c>
      <x:c r="J46" s="16" t="str">
        <x:v>14590344</x:v>
      </x:c>
      <x:c r="K46" s="13" t="str">
        <x:v>Hey Mitch, can you roll this way?</x:v>
      </x:c>
      <x:c r="L46" s="13" t="str">
        <x:v>Yeah, I'm on my way?</x:v>
      </x:c>
      <x:c r="M46" s="13" t="str">
        <x:v>Transcript association</x:v>
      </x:c>
      <x:c r="N46" s="13" t="str">
        <x:v>14590036 also answers Hawkins. Keep 14590344 separate from 14590036 pending audio and assignment confirmation.</x:v>
      </x:c>
      <x:c r="O46" s="18" t="str">
        <x:v>Not reviewed</x:v>
      </x:c>
      <x:c r="P46" s="19" t="str">
        <x:v>https://afpd-accountability.com/records/openmhz/openmhz-afpd-car-to-car-2026-09-12/dcfems-6001-1789204681.m4a</x:v>
      </x:c>
      <x:c r="Q46" s="19" t="str">
        <x:v>https://afpd-accountability.com/records/openmhz/openmhz-afpd-car-to-car-2026-09-12/dcfems-6001-1789204685.m4a</x:v>
      </x:c>
      <x:c r="R46" s="19" t="str">
        <x:v>https://afpd-accountability.com/police-radio/?date=2026-09-12</x:v>
      </x:c>
      <x:c r="S46" s="13" t="n">
        <x:v>4</x:v>
      </x:c>
    </x:row>
    <x:row r="47" ht="60" customHeight="1">
      <x:c r="A47" s="13" t="str">
        <x:v>E040</x:v>
      </x:c>
      <x:c r="B47" s="13" t="str">
        <x:v>Hawkins</x:v>
      </x:c>
      <x:c r="C47" s="14" t="n">
        <x:v>46277</x:v>
      </x:c>
      <x:c r="D47" s="13" t="n">
        <x:v>34</x:v>
      </x:c>
      <x:c r="E47" s="15" t="n">
        <x:v>0.1631365740740741</x:v>
      </x:c>
      <x:c r="F47" s="16" t="str">
        <x:v>14590020</x:v>
      </x:c>
      <x:c r="G47" s="13" t="n">
        <x:v>35</x:v>
      </x:c>
      <x:c r="H47" s="15" t="n">
        <x:v>0.16326388888888888</x:v>
      </x:c>
      <x:c r="I47" s="17" t="n">
        <x:f>ROUND((H47-E47)*86400,0)</x:f>
        <x:v>11</x:v>
      </x:c>
      <x:c r="J47" s="16" t="str">
        <x:v>14590107</x:v>
      </x:c>
      <x:c r="K47" s="13" t="str">
        <x:v>Also side note, I'm about to go tell fire that it was Hawkins that requested medical, woke them up, and then cancelled on them.</x:v>
      </x:c>
      <x:c r="L47" s="13" t="str">
        <x:v>Make sure you say it's Hawkins with an H.</x:v>
      </x:c>
      <x:c r="M47" s="13" t="str">
        <x:v>Transcript association</x:v>
      </x:c>
      <x:c r="N47" s="13" t="str"/>
      <x:c r="O47" s="18" t="str">
        <x:v>Not reviewed</x:v>
      </x:c>
      <x:c r="P47" s="19" t="str">
        <x:v>https://afpd-accountability.com/records/openmhz/openmhz-afpd-car-to-car-2026-09-12/dcfems-6001-1789206895.m4a</x:v>
      </x:c>
      <x:c r="Q47" s="19" t="str">
        <x:v>https://afpd-accountability.com/records/openmhz/openmhz-afpd-car-to-car-2026-09-12/dcfems-6001-1789206906.m4a</x:v>
      </x:c>
      <x:c r="R47" s="19" t="str">
        <x:v>https://afpd-accountability.com/police-radio/?date=2026-09-12</x:v>
      </x:c>
      <x:c r="S47" s="13" t="n">
        <x:v>11</x:v>
      </x:c>
    </x:row>
    <x:row r="48" ht="60" customHeight="1">
      <x:c r="A48" s="13" t="str">
        <x:v>E041</x:v>
      </x:c>
      <x:c r="B48" s="13" t="str">
        <x:v>Jake</x:v>
      </x:c>
      <x:c r="C48" s="14" t="n">
        <x:v>46277</x:v>
      </x:c>
      <x:c r="D48" s="13" t="n">
        <x:v>150</x:v>
      </x:c>
      <x:c r="E48" s="15" t="n">
        <x:v>0.3821643518518518</x:v>
      </x:c>
      <x:c r="F48" s="16" t="str">
        <x:v>14590123</x:v>
      </x:c>
      <x:c r="G48" s="13" t="n">
        <x:v>151</x:v>
      </x:c>
      <x:c r="H48" s="15" t="n">
        <x:v>0.3822337962962963</x:v>
      </x:c>
      <x:c r="I48" s="17" t="n">
        <x:f>ROUND((H48-E48)*86400,0)</x:f>
        <x:v>6</x:v>
      </x:c>
      <x:c r="J48" s="16" t="str">
        <x:v>14590118</x:v>
      </x:c>
      <x:c r="K48" s="13" t="str">
        <x:v>Jake, if you can maneuver yourself to go to the [unclear] side, that would be great.</x:v>
      </x:c>
      <x:c r="L48" s="13" t="str">
        <x:v>Copy. I'm over by Barnes &amp; Noble on the north side, but I will head out to State.</x:v>
      </x:c>
      <x:c r="M48" s="13" t="str">
        <x:v>Transcript association</x:v>
      </x:c>
      <x:c r="N48" s="13" t="str">
        <x:v>More than one officer on the roster uses Jake or Jacob. These rows preserve the spoken first name only.</x:v>
      </x:c>
      <x:c r="O48" s="18" t="str">
        <x:v>Not reviewed</x:v>
      </x:c>
      <x:c r="P48" s="19" t="str">
        <x:v>https://afpd-accountability.com/records/openmhz/openmhz-afpd-car-to-car-2026-09-12/dcfems-6001-1789225819.m4a</x:v>
      </x:c>
      <x:c r="Q48" s="19" t="str">
        <x:v>https://afpd-accountability.com/records/openmhz/openmhz-afpd-car-to-car-2026-09-12/dcfems-6001-1789225825.m4a</x:v>
      </x:c>
      <x:c r="R48" s="19" t="str">
        <x:v>https://afpd-accountability.com/police-radio/?date=2026-09-12</x:v>
      </x:c>
      <x:c r="S48" s="13" t="n">
        <x:v>6</x:v>
      </x:c>
    </x:row>
    <x:row r="49" ht="60" customHeight="1">
      <x:c r="A49" s="13" t="str">
        <x:v>E042</x:v>
      </x:c>
      <x:c r="B49" s="13" t="str">
        <x:v>Mason</x:v>
      </x:c>
      <x:c r="C49" s="14" t="n">
        <x:v>46277</x:v>
      </x:c>
      <x:c r="D49" s="13" t="n">
        <x:v>155</x:v>
      </x:c>
      <x:c r="E49" s="15" t="n">
        <x:v>0.38428240740740743</x:v>
      </x:c>
      <x:c r="F49" s="16" t="str">
        <x:v>14590123</x:v>
      </x:c>
      <x:c r="G49" s="13" t="n">
        <x:v>156</x:v>
      </x:c>
      <x:c r="H49" s="15" t="n">
        <x:v>0.3843287037037037</x:v>
      </x:c>
      <x:c r="I49" s="17" t="n">
        <x:f>ROUND((H49-E49)*86400,0)</x:f>
        <x:v>4</x:v>
      </x:c>
      <x:c r="J49" s="16" t="str">
        <x:v>14590315</x:v>
      </x:c>
      <x:c r="K49" s="13" t="str">
        <x:v>Mason, you got an update?</x:v>
      </x:c>
      <x:c r="L49" s="13" t="str">
        <x:v>Nope, still has not moved.</x:v>
      </x:c>
      <x:c r="M49" s="13" t="str">
        <x:v>Transcript association</x:v>
      </x:c>
      <x:c r="N49" s="13" t="str"/>
      <x:c r="O49" s="18" t="str">
        <x:v>Not reviewed</x:v>
      </x:c>
      <x:c r="P49" s="19" t="str">
        <x:v>https://afpd-accountability.com/records/openmhz/openmhz-afpd-car-to-car-2026-09-12/dcfems-6001-1789226002.m4a</x:v>
      </x:c>
      <x:c r="Q49" s="19" t="str">
        <x:v>https://afpd-accountability.com/records/openmhz/openmhz-afpd-car-to-car-2026-09-12/dcfems-6001-1789226006.m4a</x:v>
      </x:c>
      <x:c r="R49" s="19" t="str">
        <x:v>https://afpd-accountability.com/police-radio/?date=2026-09-12</x:v>
      </x:c>
      <x:c r="S49" s="13" t="n">
        <x:v>4</x:v>
      </x:c>
    </x:row>
    <x:row r="50" ht="60" customHeight="1">
      <x:c r="A50" s="13" t="str">
        <x:v>E043</x:v>
      </x:c>
      <x:c r="B50" s="13" t="str">
        <x:v>Mason</x:v>
      </x:c>
      <x:c r="C50" s="14" t="n">
        <x:v>46277</x:v>
      </x:c>
      <x:c r="D50" s="13" t="n">
        <x:v>161</x:v>
      </x:c>
      <x:c r="E50" s="15" t="n">
        <x:v>0.3888773148148148</x:v>
      </x:c>
      <x:c r="F50" s="16" t="str">
        <x:v>14590123</x:v>
      </x:c>
      <x:c r="G50" s="13" t="n">
        <x:v>162</x:v>
      </x:c>
      <x:c r="H50" s="15" t="n">
        <x:v>0.38894675925925926</x:v>
      </x:c>
      <x:c r="I50" s="17" t="n">
        <x:f>ROUND((H50-E50)*86400,0)</x:f>
        <x:v>6</x:v>
      </x:c>
      <x:c r="J50" s="16" t="str">
        <x:v>14590315</x:v>
      </x:c>
      <x:c r="K50" s="13" t="str">
        <x:v>Mr. Mason?</x:v>
      </x:c>
      <x:c r="L50" s="13" t="str">
        <x:v>Hasn't moved yet.</x:v>
      </x:c>
      <x:c r="M50" s="13" t="str">
        <x:v>Transcript association</x:v>
      </x:c>
      <x:c r="N50" s="13" t="str"/>
      <x:c r="O50" s="18" t="str">
        <x:v>Not reviewed</x:v>
      </x:c>
      <x:c r="P50" s="19" t="str">
        <x:v>https://afpd-accountability.com/records/openmhz/openmhz-afpd-car-to-car-2026-09-12/dcfems-6001-1789226399.m4a</x:v>
      </x:c>
      <x:c r="Q50" s="19" t="str">
        <x:v>https://afpd-accountability.com/records/openmhz/openmhz-afpd-car-to-car-2026-09-12/dcfems-6001-1789226405.m4a</x:v>
      </x:c>
      <x:c r="R50" s="19" t="str">
        <x:v>https://afpd-accountability.com/police-radio/?date=2026-09-12</x:v>
      </x:c>
      <x:c r="S50" s="13" t="n">
        <x:v>6</x:v>
      </x:c>
    </x:row>
    <x:row r="51" ht="60" customHeight="1">
      <x:c r="A51" s="13" t="str">
        <x:v>E044</x:v>
      </x:c>
      <x:c r="B51" s="13" t="str">
        <x:v>Jake</x:v>
      </x:c>
      <x:c r="C51" s="14" t="n">
        <x:v>46277</x:v>
      </x:c>
      <x:c r="D51" s="13" t="n">
        <x:v>183</x:v>
      </x:c>
      <x:c r="E51" s="15" t="n">
        <x:v>0.39207175925925924</x:v>
      </x:c>
      <x:c r="F51" s="16" t="str">
        <x:v>14590123</x:v>
      </x:c>
      <x:c r="G51" s="13" t="n">
        <x:v>184</x:v>
      </x:c>
      <x:c r="H51" s="15" t="n">
        <x:v>0.39216435185185183</x:v>
      </x:c>
      <x:c r="I51" s="17" t="n">
        <x:f>ROUND((H51-E51)*86400,0)</x:f>
        <x:v>8</x:v>
      </x:c>
      <x:c r="J51" s="16" t="str">
        <x:v>14590118</x:v>
      </x:c>
      <x:c r="K51" s="13" t="str">
        <x:v>What do you think, Jake? Should we knock and talk?</x:v>
      </x:c>
      <x:c r="L51" s="13" t="str">
        <x:v>Stand by, I'm following a car.</x:v>
      </x:c>
      <x:c r="M51" s="13" t="str">
        <x:v>Transcript association</x:v>
      </x:c>
      <x:c r="N51" s="13" t="str">
        <x:v>More than one officer on the roster uses Jake or Jacob. These rows preserve the spoken first name only.</x:v>
      </x:c>
      <x:c r="O51" s="18" t="str">
        <x:v>Not reviewed</x:v>
      </x:c>
      <x:c r="P51" s="19" t="str">
        <x:v>https://afpd-accountability.com/records/openmhz/openmhz-afpd-car-to-car-2026-09-12/dcfems-6001-1789226675.m4a</x:v>
      </x:c>
      <x:c r="Q51" s="19" t="str">
        <x:v>https://afpd-accountability.com/records/openmhz/openmhz-afpd-car-to-car-2026-09-12/dcfems-6001-1789226683.m4a</x:v>
      </x:c>
      <x:c r="R51" s="19" t="str">
        <x:v>https://afpd-accountability.com/police-radio/?date=2026-09-12</x:v>
      </x:c>
      <x:c r="S51" s="13" t="n">
        <x:v>8</x:v>
      </x:c>
    </x:row>
    <x:row r="52" ht="60" customHeight="1">
      <x:c r="A52" s="13" t="str">
        <x:v>E045</x:v>
      </x:c>
      <x:c r="B52" s="13" t="str">
        <x:v>Jake</x:v>
      </x:c>
      <x:c r="C52" s="14" t="n">
        <x:v>46277</x:v>
      </x:c>
      <x:c r="D52" s="13" t="n">
        <x:v>194</x:v>
      </x:c>
      <x:c r="E52" s="15" t="n">
        <x:v>0.3928587962962963</x:v>
      </x:c>
      <x:c r="F52" s="16" t="str">
        <x:v>14590123</x:v>
      </x:c>
      <x:c r="G52" s="13" t="n">
        <x:v>195</x:v>
      </x:c>
      <x:c r="H52" s="15" t="n">
        <x:v>0.39292824074074073</x:v>
      </x:c>
      <x:c r="I52" s="17" t="n">
        <x:f>ROUND((H52-E52)*86400,0)</x:f>
        <x:v>6</x:v>
      </x:c>
      <x:c r="J52" s="16" t="str">
        <x:v>14590118</x:v>
      </x:c>
      <x:c r="K52" s="13" t="str">
        <x:v>Jake, did you go towards Lehi?</x:v>
      </x:c>
      <x:c r="L52" s="13" t="str">
        <x:v>Stand by, what'd you say?</x:v>
      </x:c>
      <x:c r="M52" s="13" t="str">
        <x:v>Transcript association</x:v>
      </x:c>
      <x:c r="N52" s="13" t="str">
        <x:v>More than one officer on the roster uses Jake or Jacob. These rows preserve the spoken first name only.</x:v>
      </x:c>
      <x:c r="O52" s="18" t="str">
        <x:v>Not reviewed</x:v>
      </x:c>
      <x:c r="P52" s="19" t="str">
        <x:v>https://afpd-accountability.com/records/openmhz/openmhz-afpd-car-to-car-2026-09-12/dcfems-6001-1789226743.m4a</x:v>
      </x:c>
      <x:c r="Q52" s="19" t="str">
        <x:v>https://afpd-accountability.com/records/openmhz/openmhz-afpd-car-to-car-2026-09-12/dcfems-6001-1789226749.m4a</x:v>
      </x:c>
      <x:c r="R52" s="19" t="str">
        <x:v>https://afpd-accountability.com/police-radio/?date=2026-09-12</x:v>
      </x:c>
      <x:c r="S52" s="13" t="n">
        <x:v>6</x:v>
      </x:c>
    </x:row>
    <x:row r="53" ht="60" customHeight="1">
      <x:c r="A53" s="13" t="str">
        <x:v>E046</x:v>
      </x:c>
      <x:c r="B53" s="13" t="str">
        <x:v>Heaton / Colby</x:v>
      </x:c>
      <x:c r="C53" s="14" t="n">
        <x:v>46277</x:v>
      </x:c>
      <x:c r="D53" s="13" t="n">
        <x:v>267</x:v>
      </x:c>
      <x:c r="E53" s="15" t="n">
        <x:v>0.41053240740740743</x:v>
      </x:c>
      <x:c r="F53" s="16" t="str">
        <x:v>14590118</x:v>
      </x:c>
      <x:c r="G53" s="13" t="n">
        <x:v>268</x:v>
      </x:c>
      <x:c r="H53" s="15" t="n">
        <x:v>0.4105787037037037</x:v>
      </x:c>
      <x:c r="I53" s="17" t="n">
        <x:f>ROUND((H53-E53)*86400,0)</x:f>
        <x:v>4</x:v>
      </x:c>
      <x:c r="J53" s="16" t="str">
        <x:v>14590101</x:v>
      </x:c>
      <x:c r="K53" s="13" t="str">
        <x:v>I don't want to hear it, [Heaton?]. Shady.</x:v>
      </x:c>
      <x:c r="L53" s="13" t="str">
        <x:v>I have a lot on my plate, okay.</x:v>
      </x:c>
      <x:c r="M53" s="13" t="str">
        <x:v>Transcript association</x:v>
      </x:c>
      <x:c r="N53" s="13" t="str">
        <x:v>Includes both Heaton and Colby hails. 14590100 also answers Sam; 14590091 answers other names. Officer/crew assignment is unresolved.</x:v>
      </x:c>
      <x:c r="O53" s="18" t="str">
        <x:v>Not reviewed</x:v>
      </x:c>
      <x:c r="P53" s="19" t="str">
        <x:v>https://afpd-accountability.com/records/openmhz/openmhz-afpd-car-to-car-2026-09-12/dcfems-6001-1789228270.m4a</x:v>
      </x:c>
      <x:c r="Q53" s="19" t="str">
        <x:v>https://afpd-accountability.com/records/openmhz/openmhz-afpd-car-to-car-2026-09-12/dcfems-6001-1789228274.m4a</x:v>
      </x:c>
      <x:c r="R53" s="19" t="str">
        <x:v>https://afpd-accountability.com/police-radio/?date=2026-09-12</x:v>
      </x:c>
      <x:c r="S53" s="13" t="n">
        <x:v>4</x:v>
      </x:c>
    </x:row>
    <x:row r="54" ht="60" customHeight="1">
      <x:c r="A54" s="13" t="str">
        <x:v>E047</x:v>
      </x:c>
      <x:c r="B54" s="13" t="str">
        <x:v>Richardson / Cole</x:v>
      </x:c>
      <x:c r="C54" s="14" t="n">
        <x:v>46277</x:v>
      </x:c>
      <x:c r="D54" s="13" t="n">
        <x:v>406</x:v>
      </x:c>
      <x:c r="E54" s="15" t="n">
        <x:v>0.49194444444444446</x:v>
      </x:c>
      <x:c r="F54" s="16" t="str">
        <x:v>14590105</x:v>
      </x:c>
      <x:c r="G54" s="13" t="n">
        <x:v>407</x:v>
      </x:c>
      <x:c r="H54" s="15" t="n">
        <x:v>0.49201388888888886</x:v>
      </x:c>
      <x:c r="I54" s="17" t="n">
        <x:f>ROUND((H54-E54)*86400,0)</x:f>
        <x:v>6</x:v>
      </x:c>
      <x:c r="J54" s="16" t="str">
        <x:v>14590123</x:v>
      </x:c>
      <x:c r="K54" s="13" t="str">
        <x:v>Skinny thoughts, [Cole?]. Skinny thoughts.</x:v>
      </x:c>
      <x:c r="L54" s="13" t="str">
        <x:v>Hot girls hit [curbs?].</x:v>
      </x:c>
      <x:c r="M54" s="13" t="str">
        <x:v>Transcript association</x:v>
      </x:c>
      <x:c r="N54" s="13" t="str"/>
      <x:c r="O54" s="18" t="str">
        <x:v>Not reviewed</x:v>
      </x:c>
      <x:c r="P54" s="19" t="str">
        <x:v>https://afpd-accountability.com/records/openmhz/openmhz-afpd-car-to-car-2026-09-12/dcfems-6001-1789235304.m4a</x:v>
      </x:c>
      <x:c r="Q54" s="19" t="str">
        <x:v>https://afpd-accountability.com/records/openmhz/openmhz-afpd-car-to-car-2026-09-12/dcfems-6001-1789235310.m4a</x:v>
      </x:c>
      <x:c r="R54" s="19" t="str">
        <x:v>https://afpd-accountability.com/police-radio/?date=2026-09-12</x:v>
      </x:c>
      <x:c r="S54" s="13" t="n">
        <x:v>6</x:v>
      </x:c>
    </x:row>
    <x:row r="55" ht="60" customHeight="1">
      <x:c r="A55" s="13" t="str">
        <x:v>E048</x:v>
      </x:c>
      <x:c r="B55" s="13" t="str">
        <x:v>Jake</x:v>
      </x:c>
      <x:c r="C55" s="14" t="n">
        <x:v>46277</x:v>
      </x:c>
      <x:c r="D55" s="13" t="n">
        <x:v>421</x:v>
      </x:c>
      <x:c r="E55" s="15" t="n">
        <x:v>0.49516203703703704</x:v>
      </x:c>
      <x:c r="F55" s="16" t="str">
        <x:v>14590123</x:v>
      </x:c>
      <x:c r="G55" s="13" t="n">
        <x:v>422</x:v>
      </x:c>
      <x:c r="H55" s="15" t="n">
        <x:v>0.49525462962962963</x:v>
      </x:c>
      <x:c r="I55" s="17" t="n">
        <x:f>ROUND((H55-E55)*86400,0)</x:f>
        <x:v>8</x:v>
      </x:c>
      <x:c r="J55" s="16" t="str">
        <x:v>14590118</x:v>
      </x:c>
      <x:c r="K55" s="13" t="str">
        <x:v>Jake, I'm gonna drop my food and then run with you.</x:v>
      </x:c>
      <x:c r="L55" s="13" t="str">
        <x:v>Copy. [I'm about to pull up?]</x:v>
      </x:c>
      <x:c r="M55" s="13" t="str">
        <x:v>Transcript association</x:v>
      </x:c>
      <x:c r="N55" s="13" t="str">
        <x:v>More than one officer on the roster uses Jake or Jacob. These rows preserve the spoken first name only.</x:v>
      </x:c>
      <x:c r="O55" s="18" t="str">
        <x:v>Not reviewed</x:v>
      </x:c>
      <x:c r="P55" s="19" t="str">
        <x:v>https://afpd-accountability.com/records/openmhz/openmhz-afpd-car-to-car-2026-09-12/dcfems-6001-1789235582.m4a</x:v>
      </x:c>
      <x:c r="Q55" s="19" t="str">
        <x:v>https://afpd-accountability.com/records/openmhz/openmhz-afpd-car-to-car-2026-09-12/dcfems-6001-1789235590.m4a</x:v>
      </x:c>
      <x:c r="R55" s="19" t="str">
        <x:v>https://afpd-accountability.com/police-radio/?date=2026-09-12</x:v>
      </x:c>
      <x:c r="S55" s="13" t="n">
        <x:v>8</x:v>
      </x:c>
    </x:row>
    <x:row r="56" ht="60" customHeight="1">
      <x:c r="A56" s="13" t="str">
        <x:v>E049</x:v>
      </x:c>
      <x:c r="B56" s="13" t="str">
        <x:v>Mason</x:v>
      </x:c>
      <x:c r="C56" s="14" t="n">
        <x:v>46277</x:v>
      </x:c>
      <x:c r="D56" s="13" t="n">
        <x:v>438</x:v>
      </x:c>
      <x:c r="E56" s="15" t="n">
        <x:v>0.5149189814814815</x:v>
      </x:c>
      <x:c r="F56" s="16" t="str">
        <x:v>14590123</x:v>
      </x:c>
      <x:c r="G56" s="13" t="n">
        <x:v>439</x:v>
      </x:c>
      <x:c r="H56" s="15" t="n">
        <x:v>0.514988425925926</x:v>
      </x:c>
      <x:c r="I56" s="17" t="n">
        <x:f>ROUND((H56-E56)*86400,0)</x:f>
        <x:v>6</x:v>
      </x:c>
      <x:c r="J56" s="16" t="str">
        <x:v>14590315</x:v>
      </x:c>
      <x:c r="K56" s="13" t="str">
        <x:v>Anything, [Mason?]</x:v>
      </x:c>
      <x:c r="L56" s="13" t="str">
        <x:v>Negative.</x:v>
      </x:c>
      <x:c r="M56" s="13" t="str">
        <x:v>Transcript association</x:v>
      </x:c>
      <x:c r="N56" s="13" t="str"/>
      <x:c r="O56" s="18" t="str">
        <x:v>Not reviewed</x:v>
      </x:c>
      <x:c r="P56" s="19" t="str">
        <x:v>https://afpd-accountability.com/records/openmhz/openmhz-afpd-car-to-car-2026-09-12/dcfems-6001-1789237289.m4a</x:v>
      </x:c>
      <x:c r="Q56" s="19" t="str">
        <x:v>https://afpd-accountability.com/records/openmhz/openmhz-afpd-car-to-car-2026-09-12/dcfems-6001-1789237295.m4a</x:v>
      </x:c>
      <x:c r="R56" s="19" t="str">
        <x:v>https://afpd-accountability.com/police-radio/?date=2026-09-12</x:v>
      </x:c>
      <x:c r="S56" s="13" t="n">
        <x:v>6</x:v>
      </x:c>
    </x:row>
    <x:row r="57" ht="60" customHeight="1">
      <x:c r="A57" s="13" t="str">
        <x:v>E050</x:v>
      </x:c>
      <x:c r="B57" s="13" t="str">
        <x:v>Makai / Kelepi</x:v>
      </x:c>
      <x:c r="C57" s="14" t="n">
        <x:v>46277</x:v>
      </x:c>
      <x:c r="D57" s="13" t="n">
        <x:v>446</x:v>
      </x:c>
      <x:c r="E57" s="15" t="n">
        <x:v>0.5426851851851852</x:v>
      </x:c>
      <x:c r="F57" s="16" t="str">
        <x:v>14590123</x:v>
      </x:c>
      <x:c r="G57" s="13" t="n">
        <x:v>447</x:v>
      </x:c>
      <x:c r="H57" s="15" t="n">
        <x:v>0.5427546296296296</x:v>
      </x:c>
      <x:c r="I57" s="17" t="n">
        <x:f>ROUND((H57-E57)*86400,0)</x:f>
        <x:v>6</x:v>
      </x:c>
      <x:c r="J57" s="16" t="str">
        <x:v>14590105</x:v>
      </x:c>
      <x:c r="K57" s="13" t="str">
        <x:v>Makai, are you arrived? I'm parked on the northeast side of the complex.</x:v>
      </x:c>
      <x:c r="L57" s="13" t="str">
        <x:v>Negative, I'm leaving the PD right now.</x:v>
      </x:c>
      <x:c r="M57" s="13" t="str">
        <x:v>Named response association</x:v>
      </x:c>
      <x:c r="N57" s="13" t="str">
        <x:v>Owner corrected the addressed name to Makai and verified the question. The reply uses 14590105; its full wording has not been independently verified.</x:v>
      </x:c>
      <x:c r="O57" s="18" t="str">
        <x:v>Owner reviewed question</x:v>
      </x:c>
      <x:c r="P57" s="19" t="str">
        <x:v>https://afpd-accountability.com/records/openmhz/openmhz-afpd-car-to-car-2026-09-12/dcfems-6001-1789239688.m4a</x:v>
      </x:c>
      <x:c r="Q57" s="19" t="str">
        <x:v>https://afpd-accountability.com/records/openmhz/openmhz-afpd-car-to-car-2026-09-12/dcfems-6001-1789239694.m4a</x:v>
      </x:c>
      <x:c r="R57" s="19" t="str">
        <x:v>https://afpd-accountability.com/police-radio/?date=2026-09-12</x:v>
      </x:c>
      <x:c r="S57" s="13" t="n">
        <x:v>6</x:v>
      </x:c>
    </x:row>
    <x:row r="58" ht="60" customHeight="1">
      <x:c r="A58" s="13" t="str">
        <x:v>E051</x:v>
      </x:c>
      <x:c r="B58" s="13" t="str">
        <x:v>Jake</x:v>
      </x:c>
      <x:c r="C58" s="14" t="n">
        <x:v>46277</x:v>
      </x:c>
      <x:c r="D58" s="13" t="n">
        <x:v>472</x:v>
      </x:c>
      <x:c r="E58" s="15" t="n">
        <x:v>0.6034837962962963</x:v>
      </x:c>
      <x:c r="F58" s="16" t="str">
        <x:v>14590044</x:v>
      </x:c>
      <x:c r="G58" s="13" t="n">
        <x:v>473</x:v>
      </x:c>
      <x:c r="H58" s="15" t="n">
        <x:v>0.6035300925925926</x:v>
      </x:c>
      <x:c r="I58" s="17" t="n">
        <x:f>ROUND((H58-E58)*86400,0)</x:f>
        <x:v>4</x:v>
      </x:c>
      <x:c r="J58" s="16" t="str">
        <x:v>14590118</x:v>
      </x:c>
      <x:c r="K58" s="13" t="str">
        <x:v>Jake, are you going to make contact with that van?</x:v>
      </x:c>
      <x:c r="L58" s="13" t="str">
        <x:v>We can.</x:v>
      </x:c>
      <x:c r="M58" s="13" t="str">
        <x:v>Transcript association</x:v>
      </x:c>
      <x:c r="N58" s="13" t="str">
        <x:v>More than one officer on the roster uses Jake or Jacob. These rows preserve the spoken first name only.</x:v>
      </x:c>
      <x:c r="O58" s="18" t="str">
        <x:v>Not reviewed</x:v>
      </x:c>
      <x:c r="P58" s="19" t="str">
        <x:v>https://afpd-accountability.com/records/openmhz/openmhz-afpd-car-to-car-2026-09-12/dcfems-6001-1789244941.m4a</x:v>
      </x:c>
      <x:c r="Q58" s="19" t="str">
        <x:v>https://afpd-accountability.com/records/openmhz/openmhz-afpd-car-to-car-2026-09-12/dcfems-6001-1789244945.m4a</x:v>
      </x:c>
      <x:c r="R58" s="19" t="str">
        <x:v>https://afpd-accountability.com/police-radio/?date=2026-09-12</x:v>
      </x:c>
      <x:c r="S58" s="13" t="n">
        <x:v>4</x:v>
      </x:c>
    </x:row>
    <x:row r="59" ht="60" customHeight="1">
      <x:c r="A59" s="13" t="str">
        <x:v>E052</x:v>
      </x:c>
      <x:c r="B59" s="13" t="str">
        <x:v>Richardson / Cole</x:v>
      </x:c>
      <x:c r="C59" s="14" t="n">
        <x:v>46277</x:v>
      </x:c>
      <x:c r="D59" s="13" t="n">
        <x:v>501</x:v>
      </x:c>
      <x:c r="E59" s="15" t="n">
        <x:v>0.6140509259259259</x:v>
      </x:c>
      <x:c r="F59" s="16" t="str">
        <x:v>14590118</x:v>
      </x:c>
      <x:c r="G59" s="13" t="n">
        <x:v>502</x:v>
      </x:c>
      <x:c r="H59" s="15" t="n">
        <x:v>0.6140972222222222</x:v>
      </x:c>
      <x:c r="I59" s="17" t="n">
        <x:f>ROUND((H59-E59)*86400,0)</x:f>
        <x:v>4</x:v>
      </x:c>
      <x:c r="J59" s="16" t="str">
        <x:v>14590123</x:v>
      </x:c>
      <x:c r="K59" s="13" t="str">
        <x:v>Could you tell what he had, [Cole?]?</x:v>
      </x:c>
      <x:c r="L59" s="13" t="str">
        <x:v>No, but I will get my binos out.</x:v>
      </x:c>
      <x:c r="M59" s="13" t="str">
        <x:v>Transcript association</x:v>
      </x:c>
      <x:c r="N59" s="13" t="str"/>
      <x:c r="O59" s="18" t="str">
        <x:v>Not reviewed</x:v>
      </x:c>
      <x:c r="P59" s="19" t="str">
        <x:v>https://afpd-accountability.com/records/openmhz/openmhz-afpd-car-to-car-2026-09-12/dcfems-6001-1789245854.m4a</x:v>
      </x:c>
      <x:c r="Q59" s="19" t="str">
        <x:v>https://afpd-accountability.com/records/openmhz/openmhz-afpd-car-to-car-2026-09-12/dcfems-6001-1789245858.m4a</x:v>
      </x:c>
      <x:c r="R59" s="19" t="str">
        <x:v>https://afpd-accountability.com/police-radio/?date=2026-09-12</x:v>
      </x:c>
      <x:c r="S59" s="13" t="n">
        <x:v>4</x:v>
      </x:c>
    </x:row>
    <x:row r="60" ht="60" customHeight="1">
      <x:c r="A60" s="13" t="str">
        <x:v>E053</x:v>
      </x:c>
      <x:c r="B60" s="13" t="str">
        <x:v>Richardson / Cole</x:v>
      </x:c>
      <x:c r="C60" s="14" t="n">
        <x:v>46277</x:v>
      </x:c>
      <x:c r="D60" s="13" t="n">
        <x:v>687</x:v>
      </x:c>
      <x:c r="E60" s="15" t="n">
        <x:v>0.67</x:v>
      </x:c>
      <x:c r="F60" s="16" t="str">
        <x:v>14590118</x:v>
      </x:c>
      <x:c r="G60" s="13" t="n">
        <x:v>688</x:v>
      </x:c>
      <x:c r="H60" s="15" t="n">
        <x:v>0.6700694444444445</x:v>
      </x:c>
      <x:c r="I60" s="17" t="n">
        <x:f>ROUND((H60-E60)*86400,0)</x:f>
        <x:v>6</x:v>
      </x:c>
      <x:c r="J60" s="16" t="str">
        <x:v>14590123</x:v>
      </x:c>
      <x:c r="K60" s="13" t="str">
        <x:v>That lady is still just sitting here, Cole.</x:v>
      </x:c>
      <x:c r="L60" s="13" t="str">
        <x:v>[Good night?]</x:v>
      </x:c>
      <x:c r="M60" s="13" t="str">
        <x:v>Transcript association</x:v>
      </x:c>
      <x:c r="N60" s="13" t="str"/>
      <x:c r="O60" s="18" t="str">
        <x:v>Not reviewed</x:v>
      </x:c>
      <x:c r="P60" s="19" t="str">
        <x:v>https://afpd-accountability.com/records/openmhz/openmhz-afpd-car-to-car-2026-09-12/dcfems-6001-1789250688.m4a</x:v>
      </x:c>
      <x:c r="Q60" s="19" t="str">
        <x:v>https://afpd-accountability.com/records/openmhz/openmhz-afpd-car-to-car-2026-09-12/dcfems-6001-1789250694.m4a</x:v>
      </x:c>
      <x:c r="R60" s="19" t="str">
        <x:v>https://afpd-accountability.com/police-radio/?date=2026-09-12</x:v>
      </x:c>
      <x:c r="S60" s="13" t="n">
        <x:v>6</x:v>
      </x:c>
    </x:row>
    <x:row r="61" ht="60" customHeight="1">
      <x:c r="A61" s="13" t="str">
        <x:v>E054</x:v>
      </x:c>
      <x:c r="B61" s="13" t="str">
        <x:v>Richardson / Cole</x:v>
      </x:c>
      <x:c r="C61" s="14" t="n">
        <x:v>46277</x:v>
      </x:c>
      <x:c r="D61" s="13" t="n">
        <x:v>695</x:v>
      </x:c>
      <x:c r="E61" s="15" t="n">
        <x:v>0.6763310185185185</x:v>
      </x:c>
      <x:c r="F61" s="16" t="str">
        <x:v>14590118</x:v>
      </x:c>
      <x:c r="G61" s="13" t="n">
        <x:v>696</x:v>
      </x:c>
      <x:c r="H61" s="15" t="n">
        <x:v>0.6764236111111112</x:v>
      </x:c>
      <x:c r="I61" s="17" t="n">
        <x:f>ROUND((H61-E61)*86400,0)</x:f>
        <x:v>8</x:v>
      </x:c>
      <x:c r="J61" s="16" t="str">
        <x:v>14590123</x:v>
      </x:c>
      <x:c r="K61" s="13" t="str">
        <x:v>Curse you, Cole.</x:v>
      </x:c>
      <x:c r="L61" s="13" t="str">
        <x:v>[What do I do? / What'd I do?]</x:v>
      </x:c>
      <x:c r="M61" s="13" t="str">
        <x:v>Transcript association</x:v>
      </x:c>
      <x:c r="N61" s="13" t="str"/>
      <x:c r="O61" s="18" t="str">
        <x:v>Not reviewed</x:v>
      </x:c>
      <x:c r="P61" s="19" t="str">
        <x:v>https://afpd-accountability.com/records/openmhz/openmhz-afpd-car-to-car-2026-09-12/dcfems-6001-1789251235.m4a</x:v>
      </x:c>
      <x:c r="Q61" s="19" t="str">
        <x:v>https://afpd-accountability.com/records/openmhz/openmhz-afpd-car-to-car-2026-09-12/dcfems-6001-1789251243.m4a</x:v>
      </x:c>
      <x:c r="R61" s="19" t="str">
        <x:v>https://afpd-accountability.com/police-radio/?date=2026-09-12</x:v>
      </x:c>
      <x:c r="S61" s="13" t="n">
        <x:v>8</x:v>
      </x:c>
    </x:row>
    <x:row r="62" ht="60" customHeight="1">
      <x:c r="A62" s="13" t="str">
        <x:v>E055</x:v>
      </x:c>
      <x:c r="B62" s="13" t="str">
        <x:v>Richardson / Cole</x:v>
      </x:c>
      <x:c r="C62" s="14" t="n">
        <x:v>46277</x:v>
      </x:c>
      <x:c r="D62" s="13" t="n">
        <x:v>701</x:v>
      </x:c>
      <x:c r="E62" s="15" t="n">
        <x:v>0.6769328703703704</x:v>
      </x:c>
      <x:c r="F62" s="16" t="str">
        <x:v>14590118</x:v>
      </x:c>
      <x:c r="G62" s="13" t="n">
        <x:v>702</x:v>
      </x:c>
      <x:c r="H62" s="15" t="n">
        <x:v>0.6769907407407407</x:v>
      </x:c>
      <x:c r="I62" s="17" t="n">
        <x:f>ROUND((H62-E62)*86400,0)</x:f>
        <x:v>5</x:v>
      </x:c>
      <x:c r="J62" s="16" t="str">
        <x:v>14590123</x:v>
      </x:c>
      <x:c r="K62" s="13" t="str">
        <x:v>Cole, did you run this lady's name at all?</x:v>
      </x:c>
      <x:c r="L62" s="13" t="str">
        <x:v>Yeah, she had, like, a family problem and an animal complaint. [That's it?]</x:v>
      </x:c>
      <x:c r="M62" s="13" t="str">
        <x:v>Transcript association</x:v>
      </x:c>
      <x:c r="N62" s="13" t="str"/>
      <x:c r="O62" s="18" t="str">
        <x:v>Not reviewed</x:v>
      </x:c>
      <x:c r="P62" s="19" t="str">
        <x:v>https://afpd-accountability.com/records/openmhz/openmhz-afpd-car-to-car-2026-09-12/dcfems-6001-1789251287.m4a</x:v>
      </x:c>
      <x:c r="Q62" s="19" t="str">
        <x:v>https://afpd-accountability.com/records/openmhz/openmhz-afpd-car-to-car-2026-09-12/dcfems-6001-1789251292.m4a</x:v>
      </x:c>
      <x:c r="R62" s="19" t="str">
        <x:v>https://afpd-accountability.com/police-radio/?date=2026-09-12</x:v>
      </x:c>
      <x:c r="S62" s="13" t="n">
        <x:v>5</x:v>
      </x:c>
    </x:row>
    <x:row r="63" ht="60" customHeight="1">
      <x:c r="A63" s="13" t="str">
        <x:v>E056</x:v>
      </x:c>
      <x:c r="B63" s="13" t="str">
        <x:v>Mason</x:v>
      </x:c>
      <x:c r="C63" s="14" t="n">
        <x:v>46277</x:v>
      </x:c>
      <x:c r="D63" s="13" t="n">
        <x:v>711</x:v>
      </x:c>
      <x:c r="E63" s="15" t="n">
        <x:v>0.6784837962962963</x:v>
      </x:c>
      <x:c r="F63" s="16" t="str">
        <x:v>14590118</x:v>
      </x:c>
      <x:c r="G63" s="13" t="n">
        <x:v>712</x:v>
      </x:c>
      <x:c r="H63" s="15" t="n">
        <x:v>0.678599537037037</x:v>
      </x:c>
      <x:c r="I63" s="17" t="n">
        <x:f>ROUND((H63-E63)*86400,0)</x:f>
        <x:v>10</x:v>
      </x:c>
      <x:c r="J63" s="16" t="str">
        <x:v>14590315</x:v>
      </x:c>
      <x:c r="K63" s="13" t="str">
        <x:v>All right, Mason, this car is getting ready to leave.</x:v>
      </x:c>
      <x:c r="L63" s="13" t="str">
        <x:v>[Please stay safe. Bye. / Just a second, guys, bye.]</x:v>
      </x:c>
      <x:c r="M63" s="13" t="str">
        <x:v>Transcript association</x:v>
      </x:c>
      <x:c r="N63" s="13" t="str"/>
      <x:c r="O63" s="18" t="str">
        <x:v>Not reviewed</x:v>
      </x:c>
      <x:c r="P63" s="19" t="str">
        <x:v>https://afpd-accountability.com/records/openmhz/openmhz-afpd-car-to-car-2026-09-12/dcfems-6001-1789251421.m4a</x:v>
      </x:c>
      <x:c r="Q63" s="19" t="str">
        <x:v>https://afpd-accountability.com/records/openmhz/openmhz-afpd-car-to-car-2026-09-12/dcfems-6001-1789251431.m4a</x:v>
      </x:c>
      <x:c r="R63" s="19" t="str">
        <x:v>https://afpd-accountability.com/police-radio/?date=2026-09-12</x:v>
      </x:c>
      <x:c r="S63" s="13" t="n">
        <x:v>10</x:v>
      </x:c>
    </x:row>
    <x:row r="64" ht="60" customHeight="1">
      <x:c r="A64" s="13" t="str">
        <x:v>E057</x:v>
      </x:c>
      <x:c r="B64" s="13" t="str">
        <x:v>Jake</x:v>
      </x:c>
      <x:c r="C64" s="14" t="n">
        <x:v>46277</x:v>
      </x:c>
      <x:c r="D64" s="13" t="n">
        <x:v>742</x:v>
      </x:c>
      <x:c r="E64" s="15" t="n">
        <x:v>0.6904861111111111</x:v>
      </x:c>
      <x:c r="F64" s="16" t="str">
        <x:v>14590315</x:v>
      </x:c>
      <x:c r="G64" s="13" t="n">
        <x:v>743</x:v>
      </x:c>
      <x:c r="H64" s="15" t="n">
        <x:v>0.6905092592592592</x:v>
      </x:c>
      <x:c r="I64" s="17" t="n">
        <x:f>ROUND((H64-E64)*86400,0)</x:f>
        <x:v>2</x:v>
      </x:c>
      <x:c r="J64" s="16" t="str">
        <x:v>14590118</x:v>
      </x:c>
      <x:c r="K64" s="13" t="str">
        <x:v>Jake, you still following that car?</x:v>
      </x:c>
      <x:c r="L64" s="13" t="str">
        <x:v>Yeah, she keeps dodging me.</x:v>
      </x:c>
      <x:c r="M64" s="13" t="str">
        <x:v>Transcript association</x:v>
      </x:c>
      <x:c r="N64" s="13" t="str">
        <x:v>More than one officer on the roster uses Jake or Jacob. These rows preserve the spoken first name only.</x:v>
      </x:c>
      <x:c r="O64" s="18" t="str">
        <x:v>Not reviewed</x:v>
      </x:c>
      <x:c r="P64" s="19" t="str">
        <x:v>https://afpd-accountability.com/records/openmhz/openmhz-afpd-car-to-car-2026-09-12/dcfems-6001-1789252458.m4a</x:v>
      </x:c>
      <x:c r="Q64" s="19" t="str">
        <x:v>https://afpd-accountability.com/records/openmhz/openmhz-afpd-car-to-car-2026-09-12/dcfems-6001-1789252460.m4a</x:v>
      </x:c>
      <x:c r="R64" s="19" t="str">
        <x:v>https://afpd-accountability.com/police-radio/?date=2026-09-12</x:v>
      </x:c>
      <x:c r="S64" s="13" t="n">
        <x:v>2</x:v>
      </x:c>
    </x:row>
    <x:row r="65" ht="60" customHeight="1">
      <x:c r="A65" s="13" t="str">
        <x:v>E058</x:v>
      </x:c>
      <x:c r="B65" s="13" t="str">
        <x:v>Jake</x:v>
      </x:c>
      <x:c r="C65" s="14" t="n">
        <x:v>46277</x:v>
      </x:c>
      <x:c r="D65" s="13" t="n">
        <x:v>749</x:v>
      </x:c>
      <x:c r="E65" s="15" t="n">
        <x:v>0.6909837962962962</x:v>
      </x:c>
      <x:c r="F65" s="16" t="str">
        <x:v>14590247</x:v>
      </x:c>
      <x:c r="G65" s="13" t="n">
        <x:v>750</x:v>
      </x:c>
      <x:c r="H65" s="15" t="n">
        <x:v>0.6910532407407407</x:v>
      </x:c>
      <x:c r="I65" s="17" t="n">
        <x:f>ROUND((H65-E65)*86400,0)</x:f>
        <x:v>6</x:v>
      </x:c>
      <x:c r="J65" s="16" t="str">
        <x:v>14590118</x:v>
      </x:c>
      <x:c r="K65" s="13" t="str">
        <x:v>Hey, Jake, I just got to the PD. Do you want me to stay somewhere on [Main?]?</x:v>
      </x:c>
      <x:c r="L65" s="13" t="str">
        <x:v>You're good [for that?].</x:v>
      </x:c>
      <x:c r="M65" s="13" t="str">
        <x:v>Transcript association</x:v>
      </x:c>
      <x:c r="N65" s="13" t="str">
        <x:v>More than one officer on the roster uses Jake or Jacob. These rows preserve the spoken first name only.</x:v>
      </x:c>
      <x:c r="O65" s="18" t="str">
        <x:v>Not reviewed</x:v>
      </x:c>
      <x:c r="P65" s="19" t="str">
        <x:v>https://afpd-accountability.com/records/openmhz/openmhz-afpd-car-to-car-2026-09-12/dcfems-6001-1789252501.m4a</x:v>
      </x:c>
      <x:c r="Q65" s="19" t="str">
        <x:v>https://afpd-accountability.com/records/openmhz/openmhz-afpd-car-to-car-2026-09-12/dcfems-6001-1789252507.m4a</x:v>
      </x:c>
      <x:c r="R65" s="19" t="str">
        <x:v>https://afpd-accountability.com/police-radio/?date=2026-09-12</x:v>
      </x:c>
      <x:c r="S65" s="13" t="n">
        <x:v>6</x:v>
      </x:c>
    </x:row>
    <x:row r="66" ht="60" customHeight="1">
      <x:c r="A66" s="13" t="str">
        <x:v>E059</x:v>
      </x:c>
      <x:c r="B66" s="13" t="str">
        <x:v>Mason</x:v>
      </x:c>
      <x:c r="C66" s="14" t="n">
        <x:v>46277</x:v>
      </x:c>
      <x:c r="D66" s="13" t="n">
        <x:v>757</x:v>
      </x:c>
      <x:c r="E66" s="15" t="n">
        <x:v>0.6946527777777778</x:v>
      </x:c>
      <x:c r="F66" s="16" t="str">
        <x:v>14590118</x:v>
      </x:c>
      <x:c r="G66" s="13" t="n">
        <x:v>758</x:v>
      </x:c>
      <x:c r="H66" s="15" t="n">
        <x:v>0.6947569444444445</x:v>
      </x:c>
      <x:c r="I66" s="17" t="n">
        <x:f>ROUND((H66-E66)*86400,0)</x:f>
        <x:v>9</x:v>
      </x:c>
      <x:c r="J66" s="16" t="str">
        <x:v>14590315</x:v>
      </x:c>
      <x:c r="K66" s="13" t="str">
        <x:v>[Mason?], [unclear], watch for, like, a light blue car [unclear ending].</x:v>
      </x:c>
      <x:c r="L66" s="13" t="str">
        <x:v>Yeah.</x:v>
      </x:c>
      <x:c r="M66" s="13" t="str">
        <x:v>Transcript association</x:v>
      </x:c>
      <x:c r="N66" s="13" t="str"/>
      <x:c r="O66" s="18" t="str">
        <x:v>Not reviewed</x:v>
      </x:c>
      <x:c r="P66" s="19" t="str">
        <x:v>https://afpd-accountability.com/records/openmhz/openmhz-afpd-car-to-car-2026-09-12/dcfems-6001-1789252818.m4a</x:v>
      </x:c>
      <x:c r="Q66" s="19" t="str">
        <x:v>https://afpd-accountability.com/records/openmhz/openmhz-afpd-car-to-car-2026-09-12/dcfems-6001-1789252827.m4a</x:v>
      </x:c>
      <x:c r="R66" s="19" t="str">
        <x:v>https://afpd-accountability.com/police-radio/?date=2026-09-12</x:v>
      </x:c>
      <x:c r="S66" s="13" t="n">
        <x:v>9</x:v>
      </x:c>
    </x:row>
    <x:row r="67" ht="60" customHeight="1">
      <x:c r="A67" s="13" t="str">
        <x:v>E060</x:v>
      </x:c>
      <x:c r="B67" s="13" t="str">
        <x:v>Jake</x:v>
      </x:c>
      <x:c r="C67" s="14" t="n">
        <x:v>46277</x:v>
      </x:c>
      <x:c r="D67" s="13" t="n">
        <x:v>783</x:v>
      </x:c>
      <x:c r="E67" s="15" t="n">
        <x:v>0.7136689814814815</x:v>
      </x:c>
      <x:c r="F67" s="16" t="str">
        <x:v>14590091</x:v>
      </x:c>
      <x:c r="G67" s="13" t="n">
        <x:v>784</x:v>
      </x:c>
      <x:c r="H67" s="15" t="n">
        <x:v>0.713761574074074</x:v>
      </x:c>
      <x:c r="I67" s="17" t="n">
        <x:f>ROUND((H67-E67)*86400,0)</x:f>
        <x:v>8</x:v>
      </x:c>
      <x:c r="J67" s="16" t="str">
        <x:v>14590118</x:v>
      </x:c>
      <x:c r="K67" s="13" t="str">
        <x:v>I'm just on [Mill Pond?], [Jake?].</x:v>
      </x:c>
      <x:c r="L67" s="13" t="str">
        <x:v>Copy. I will see you soon.</x:v>
      </x:c>
      <x:c r="M67" s="13" t="str">
        <x:v>Transcript association</x:v>
      </x:c>
      <x:c r="N67" s="13" t="str">
        <x:v>More than one officer on the roster uses Jake or Jacob. These rows preserve the spoken first name only.</x:v>
      </x:c>
      <x:c r="O67" s="18" t="str">
        <x:v>Not reviewed</x:v>
      </x:c>
      <x:c r="P67" s="19" t="str">
        <x:v>https://afpd-accountability.com/records/openmhz/openmhz-afpd-car-to-car-2026-09-12/dcfems-6001-1789254461.m4a</x:v>
      </x:c>
      <x:c r="Q67" s="19" t="str">
        <x:v>https://afpd-accountability.com/records/openmhz/openmhz-afpd-car-to-car-2026-09-12/dcfems-6001-1789254469.m4a</x:v>
      </x:c>
      <x:c r="R67" s="19" t="str">
        <x:v>https://afpd-accountability.com/police-radio/?date=2026-09-12</x:v>
      </x:c>
      <x:c r="S67" s="13" t="n">
        <x:v>8</x:v>
      </x:c>
    </x:row>
    <x:row r="68" ht="60" customHeight="1">
      <x:c r="A68" s="13" t="str">
        <x:v>E061</x:v>
      </x:c>
      <x:c r="B68" s="13" t="str">
        <x:v>Tonga</x:v>
      </x:c>
      <x:c r="C68" s="14" t="n">
        <x:v>46277</x:v>
      </x:c>
      <x:c r="D68" s="13" t="n">
        <x:v>836</x:v>
      </x:c>
      <x:c r="E68" s="15" t="n">
        <x:v>0.7433564814814815</x:v>
      </x:c>
      <x:c r="F68" s="16" t="str">
        <x:v>14590123</x:v>
      </x:c>
      <x:c r="G68" s="13" t="n">
        <x:v>837</x:v>
      </x:c>
      <x:c r="H68" s="15" t="n">
        <x:v>0.7434143518518519</x:v>
      </x:c>
      <x:c r="I68" s="17" t="n">
        <x:f>ROUND((H68-E68)*86400,0)</x:f>
        <x:v>5</x:v>
      </x:c>
      <x:c r="J68" s="16" t="str">
        <x:v>14590345</x:v>
      </x:c>
      <x:c r="K68" s="13" t="str">
        <x:v>[Tonga/Tiger?], you sound handsome today.</x:v>
      </x:c>
      <x:c r="L68" s="13" t="str">
        <x:v>Just for you, baby.</x:v>
      </x:c>
      <x:c r="M68" s="13" t="str">
        <x:v>Transcript association</x:v>
      </x:c>
      <x:c r="N68" s="13" t="str"/>
      <x:c r="O68" s="18" t="str">
        <x:v>Not reviewed</x:v>
      </x:c>
      <x:c r="P68" s="19" t="str">
        <x:v>https://afpd-accountability.com/records/openmhz/openmhz-afpd-car-to-car-2026-09-12/dcfems-6001-1789257026.m4a</x:v>
      </x:c>
      <x:c r="Q68" s="19" t="str">
        <x:v>https://afpd-accountability.com/records/openmhz/openmhz-afpd-car-to-car-2026-09-12/dcfems-6001-1789257031.m4a</x:v>
      </x:c>
      <x:c r="R68" s="19" t="str">
        <x:v>https://afpd-accountability.com/police-radio/?date=2026-09-12</x:v>
      </x:c>
      <x:c r="S68" s="13" t="n">
        <x:v>5</x:v>
      </x:c>
    </x:row>
    <x:row r="69" ht="60" customHeight="1">
      <x:c r="A69" s="13" t="str">
        <x:v>E062</x:v>
      </x:c>
      <x:c r="B69" s="13" t="str">
        <x:v>Makai / Kelepi</x:v>
      </x:c>
      <x:c r="C69" s="14" t="n">
        <x:v>46277</x:v>
      </x:c>
      <x:c r="D69" s="13" t="n">
        <x:v>851</x:v>
      </x:c>
      <x:c r="E69" s="15" t="n">
        <x:v>0.7477314814814815</x:v>
      </x:c>
      <x:c r="F69" s="16" t="str">
        <x:v>14590087</x:v>
      </x:c>
      <x:c r="G69" s="13" t="n">
        <x:v>852</x:v>
      </x:c>
      <x:c r="H69" s="15" t="n">
        <x:v>0.7478472222222222</x:v>
      </x:c>
      <x:c r="I69" s="17" t="n">
        <x:f>ROUND((H69-E69)*86400,0)</x:f>
        <x:v>10</x:v>
      </x:c>
      <x:c r="J69" s="16" t="str">
        <x:v>14590105</x:v>
      </x:c>
      <x:c r="K69" s="13" t="str">
        <x:v>Hey, Makai, there was a phone under your car. Is it yours?</x:v>
      </x:c>
      <x:c r="L69" s="13" t="str">
        <x:v>A phone under my car?</x:v>
      </x:c>
      <x:c r="M69" s="13" t="str">
        <x:v>Named response association</x:v>
      </x:c>
      <x:c r="N69" s="13" t="str">
        <x:v>Owner corrected the addressed name to Makai and verified the question. The reply uses 14590105; its full wording has not been independently verified.</x:v>
      </x:c>
      <x:c r="O69" s="18" t="str">
        <x:v>Owner reviewed question</x:v>
      </x:c>
      <x:c r="P69" s="19" t="str">
        <x:v>https://afpd-accountability.com/records/openmhz/openmhz-afpd-car-to-car-2026-09-12/dcfems-6001-1789257404.m4a</x:v>
      </x:c>
      <x:c r="Q69" s="19" t="str">
        <x:v>https://afpd-accountability.com/records/openmhz/openmhz-afpd-car-to-car-2026-09-12/dcfems-6001-1789257414.m4a</x:v>
      </x:c>
      <x:c r="R69" s="19" t="str">
        <x:v>https://afpd-accountability.com/police-radio/?date=2026-09-12</x:v>
      </x:c>
      <x:c r="S69" s="13" t="n">
        <x:v>10</x:v>
      </x:c>
    </x:row>
    <x:row r="70" ht="60" customHeight="1">
      <x:c r="A70" s="13" t="str">
        <x:v>E063</x:v>
      </x:c>
      <x:c r="B70" s="13" t="str">
        <x:v>Cox</x:v>
      </x:c>
      <x:c r="C70" s="14" t="n">
        <x:v>46277</x:v>
      </x:c>
      <x:c r="D70" s="13" t="n">
        <x:v>862</x:v>
      </x:c>
      <x:c r="E70" s="15" t="n">
        <x:v>0.7543518518518518</x:v>
      </x:c>
      <x:c r="F70" s="16" t="str">
        <x:v>14590045</x:v>
      </x:c>
      <x:c r="G70" s="13" t="n">
        <x:v>863</x:v>
      </x:c>
      <x:c r="H70" s="15" t="n">
        <x:v>0.7543981481481481</x:v>
      </x:c>
      <x:c r="I70" s="17" t="n">
        <x:f>ROUND((H70-E70)*86400,0)</x:f>
        <x:v>4</x:v>
      </x:c>
      <x:c r="J70" s="16" t="str">
        <x:v>14590020</x:v>
      </x:c>
      <x:c r="K70" s="13" t="str">
        <x:v>[Cox/Fox?], did you guys find that guy at Walmart?</x:v>
      </x:c>
      <x:c r="L70" s="13" t="str">
        <x:v>Yeah, we're on the northeast section of the Walmart parking lot. [At the?] dead middle of the store, just [go/goes] straight out towards West State, and that's where we are.</x:v>
      </x:c>
      <x:c r="M70" s="13" t="str">
        <x:v>Transcript association</x:v>
      </x:c>
      <x:c r="N70" s="13" t="str"/>
      <x:c r="O70" s="18" t="str">
        <x:v>Not reviewed</x:v>
      </x:c>
      <x:c r="P70" s="19" t="str">
        <x:v>https://afpd-accountability.com/records/openmhz/openmhz-afpd-car-to-car-2026-09-12/dcfems-6001-1789257976.m4a</x:v>
      </x:c>
      <x:c r="Q70" s="19" t="str">
        <x:v>https://afpd-accountability.com/records/openmhz/openmhz-afpd-car-to-car-2026-09-12/dcfems-6001-1789257980.m4a</x:v>
      </x:c>
      <x:c r="R70" s="19" t="str">
        <x:v>https://afpd-accountability.com/police-radio/?date=2026-09-12</x:v>
      </x:c>
      <x:c r="S70" s="13" t="n">
        <x:v>4</x:v>
      </x:c>
    </x:row>
    <x:row r="71" ht="60" customHeight="1">
      <x:c r="A71" s="13" t="str">
        <x:v>E064</x:v>
      </x:c>
      <x:c r="B71" s="13" t="str">
        <x:v>Tonga</x:v>
      </x:c>
      <x:c r="C71" s="14" t="n">
        <x:v>46277</x:v>
      </x:c>
      <x:c r="D71" s="13" t="n">
        <x:v>874</x:v>
      </x:c>
      <x:c r="E71" s="15" t="n">
        <x:v>0.802025462962963</x:v>
      </x:c>
      <x:c r="F71" s="16" t="str">
        <x:v>14590313</x:v>
      </x:c>
      <x:c r="G71" s="13" t="n">
        <x:v>875</x:v>
      </x:c>
      <x:c r="H71" s="15" t="n">
        <x:v>0.8020717592592592</x:v>
      </x:c>
      <x:c r="I71" s="17" t="n">
        <x:f>ROUND((H71-E71)*86400,0)</x:f>
        <x:v>4</x:v>
      </x:c>
      <x:c r="J71" s="16" t="str">
        <x:v>14590345</x:v>
      </x:c>
      <x:c r="K71" s="13" t="str">
        <x:v>Hello, [Tonga?].</x:v>
      </x:c>
      <x:c r="L71" s="13" t="str">
        <x:v>Hello.</x:v>
      </x:c>
      <x:c r="M71" s="13" t="str">
        <x:v>Transcript association</x:v>
      </x:c>
      <x:c r="N71" s="13" t="str"/>
      <x:c r="O71" s="18" t="str">
        <x:v>Not reviewed</x:v>
      </x:c>
      <x:c r="P71" s="19" t="str">
        <x:v>https://afpd-accountability.com/records/openmhz/openmhz-afpd-car-to-car-2026-09-12/dcfems-6001-1789262095.m4a</x:v>
      </x:c>
      <x:c r="Q71" s="19" t="str">
        <x:v>https://afpd-accountability.com/records/openmhz/openmhz-afpd-car-to-car-2026-09-12/dcfems-6001-1789262099.m4a</x:v>
      </x:c>
      <x:c r="R71" s="19" t="str">
        <x:v>https://afpd-accountability.com/police-radio/?date=2026-09-12</x:v>
      </x:c>
      <x:c r="S71" s="13" t="n">
        <x:v>4</x:v>
      </x:c>
    </x:row>
    <x:row r="72" ht="60" customHeight="1">
      <x:c r="A72" s="13" t="str">
        <x:v>E065</x:v>
      </x:c>
      <x:c r="B72" s="13" t="str">
        <x:v>Greg</x:v>
      </x:c>
      <x:c r="C72" s="14" t="n">
        <x:v>46277</x:v>
      </x:c>
      <x:c r="D72" s="13" t="n">
        <x:v>932</x:v>
      </x:c>
      <x:c r="E72" s="15" t="n">
        <x:v>0.9014351851851852</x:v>
      </x:c>
      <x:c r="F72" s="16" t="str">
        <x:v>14590313</x:v>
      </x:c>
      <x:c r="G72" s="13" t="n">
        <x:v>933</x:v>
      </x:c>
      <x:c r="H72" s="15" t="n">
        <x:v>0.9015277777777778</x:v>
      </x:c>
      <x:c r="I72" s="17" t="n">
        <x:f>ROUND((H72-E72)*86400,0)</x:f>
        <x:v>8</x:v>
      </x:c>
      <x:c r="J72" s="16" t="str">
        <x:v>14590098</x:v>
      </x:c>
      <x:c r="K72" s="13" t="str">
        <x:v>Hey Greg, I was going to get that other person.</x:v>
      </x:c>
      <x:c r="L72" s="13" t="str">
        <x:v>Get what other person?</x:v>
      </x:c>
      <x:c r="M72" s="13" t="str">
        <x:v>Transcript association</x:v>
      </x:c>
      <x:c r="N72" s="13" t="str"/>
      <x:c r="O72" s="18" t="str">
        <x:v>Not reviewed</x:v>
      </x:c>
      <x:c r="P72" s="19" t="str">
        <x:v>https://afpd-accountability.com/records/openmhz/openmhz-afpd-car-to-car-2026-09-12/dcfems-6001-1789270684.m4a</x:v>
      </x:c>
      <x:c r="Q72" s="19" t="str">
        <x:v>https://afpd-accountability.com/records/openmhz/openmhz-afpd-car-to-car-2026-09-12/dcfems-6001-1789270692.m4a</x:v>
      </x:c>
      <x:c r="R72" s="19" t="str">
        <x:v>https://afpd-accountability.com/police-radio/?date=2026-09-12</x:v>
      </x:c>
      <x:c r="S72" s="13" t="n">
        <x:v>8</x:v>
      </x:c>
    </x:row>
    <x:row r="73" ht="60" customHeight="1">
      <x:c r="A73" s="13" t="str">
        <x:v>E066</x:v>
      </x:c>
      <x:c r="B73" s="13" t="str">
        <x:v>Greg</x:v>
      </x:c>
      <x:c r="C73" s="14" t="n">
        <x:v>46277</x:v>
      </x:c>
      <x:c r="D73" s="13" t="n">
        <x:v>935</x:v>
      </x:c>
      <x:c r="E73" s="15" t="n">
        <x:v>0.9021412037037037</x:v>
      </x:c>
      <x:c r="F73" s="16" t="str">
        <x:v>14590313</x:v>
      </x:c>
      <x:c r="G73" s="13" t="n">
        <x:v>936</x:v>
      </x:c>
      <x:c r="H73" s="15" t="n">
        <x:v>0.9022106481481481</x:v>
      </x:c>
      <x:c r="I73" s="17" t="n">
        <x:f>ROUND((H73-E73)*86400,0)</x:f>
        <x:v>6</x:v>
      </x:c>
      <x:c r="J73" s="16" t="str">
        <x:v>14590098</x:v>
      </x:c>
      <x:c r="K73" s="13" t="str">
        <x:v>Hey, Greg, do you see that person's headlamp? Right in front? To the right?</x:v>
      </x:c>
      <x:c r="L73" s="13" t="str">
        <x:v>I was trying to see. I'll get up a little bit further.</x:v>
      </x:c>
      <x:c r="M73" s="13" t="str">
        <x:v>Transcript association</x:v>
      </x:c>
      <x:c r="N73" s="13" t="str"/>
      <x:c r="O73" s="18" t="str">
        <x:v>Not reviewed</x:v>
      </x:c>
      <x:c r="P73" s="19" t="str">
        <x:v>https://afpd-accountability.com/records/openmhz/openmhz-afpd-car-to-car-2026-09-12/dcfems-6001-1789270745.m4a</x:v>
      </x:c>
      <x:c r="Q73" s="19" t="str">
        <x:v>https://afpd-accountability.com/records/openmhz/openmhz-afpd-car-to-car-2026-09-12/dcfems-6001-1789270751.m4a</x:v>
      </x:c>
      <x:c r="R73" s="19" t="str">
        <x:v>https://afpd-accountability.com/police-radio/?date=2026-09-12</x:v>
      </x:c>
      <x:c r="S73" s="13" t="n">
        <x:v>6</x:v>
      </x:c>
    </x:row>
    <x:row r="74" ht="60" customHeight="1">
      <x:c r="A74" s="13" t="str">
        <x:v>E067</x:v>
      </x:c>
      <x:c r="B74" s="13" t="str">
        <x:v>Greg</x:v>
      </x:c>
      <x:c r="C74" s="14" t="n">
        <x:v>46277</x:v>
      </x:c>
      <x:c r="D74" s="13" t="n">
        <x:v>940</x:v>
      </x:c>
      <x:c r="E74" s="15" t="n">
        <x:v>0.9027546296296296</x:v>
      </x:c>
      <x:c r="F74" s="16" t="str">
        <x:v>14590313</x:v>
      </x:c>
      <x:c r="G74" s="13" t="n">
        <x:v>941</x:v>
      </x:c>
      <x:c r="H74" s="15" t="n">
        <x:v>0.9028240740740741</x:v>
      </x:c>
      <x:c r="I74" s="17" t="n">
        <x:f>ROUND((H74-E74)*86400,0)</x:f>
        <x:v>6</x:v>
      </x:c>
      <x:c r="J74" s="16" t="str">
        <x:v>14590098</x:v>
      </x:c>
      <x:c r="K74" s="13" t="str">
        <x:v>Hey Greg, are you heading to In-N-Out now? Or are you waiting?</x:v>
      </x:c>
      <x:c r="L74" s="13" t="str">
        <x:v>Yeah, I'll try to beat those other guys there. I'll just hang out.</x:v>
      </x:c>
      <x:c r="M74" s="13" t="str">
        <x:v>Transcript association</x:v>
      </x:c>
      <x:c r="N74" s="13" t="str"/>
      <x:c r="O74" s="18" t="str">
        <x:v>Not reviewed</x:v>
      </x:c>
      <x:c r="P74" s="19" t="str">
        <x:v>https://afpd-accountability.com/records/openmhz/openmhz-afpd-car-to-car-2026-09-12/dcfems-6001-1789270798.m4a</x:v>
      </x:c>
      <x:c r="Q74" s="19" t="str">
        <x:v>https://afpd-accountability.com/records/openmhz/openmhz-afpd-car-to-car-2026-09-12/dcfems-6001-1789270804.m4a</x:v>
      </x:c>
      <x:c r="R74" s="19" t="str">
        <x:v>https://afpd-accountability.com/police-radio/?date=2026-09-12</x:v>
      </x:c>
      <x:c r="S74" s="13" t="n">
        <x:v>6</x:v>
      </x:c>
    </x:row>
    <x:row r="75" ht="60" customHeight="1">
      <x:c r="A75" s="13" t="str">
        <x:v>E068</x:v>
      </x:c>
      <x:c r="B75" s="13" t="str">
        <x:v>Hawkins</x:v>
      </x:c>
      <x:c r="C75" s="14" t="n">
        <x:v>46277</x:v>
      </x:c>
      <x:c r="D75" s="13" t="n">
        <x:v>948</x:v>
      </x:c>
      <x:c r="E75" s="15" t="n">
        <x:v>0.9075925925925926</x:v>
      </x:c>
      <x:c r="F75" s="16" t="str">
        <x:v>14590045</x:v>
      </x:c>
      <x:c r="G75" s="13" t="n">
        <x:v>949</x:v>
      </x:c>
      <x:c r="H75" s="15" t="n">
        <x:v>0.9076388888888889</x:v>
      </x:c>
      <x:c r="I75" s="17" t="n">
        <x:f>ROUND((H75-E75)*86400,0)</x:f>
        <x:v>4</x:v>
      </x:c>
      <x:c r="J75" s="16" t="str">
        <x:v>14590036</x:v>
      </x:c>
      <x:c r="K75" s="13" t="str">
        <x:v>[Hey, Hawkins?], don't worry about it. I'll take that.</x:v>
      </x:c>
      <x:c r="L75" s="13" t="str">
        <x:v>You don't have to.</x:v>
      </x:c>
      <x:c r="M75" s="13" t="str">
        <x:v>Conflicting names on this ID</x:v>
      </x:c>
      <x:c r="N75" s="13" t="str">
        <x:v>14590036 also answers hails to Mitch. Keep this as an exchange-level association.</x:v>
      </x:c>
      <x:c r="O75" s="18" t="str">
        <x:v>Not reviewed</x:v>
      </x:c>
      <x:c r="P75" s="19" t="str">
        <x:v>https://afpd-accountability.com/records/openmhz/openmhz-afpd-car-to-car-2026-09-12/dcfems-6001-1789271216.m4a</x:v>
      </x:c>
      <x:c r="Q75" s="19" t="str">
        <x:v>https://afpd-accountability.com/records/openmhz/openmhz-afpd-car-to-car-2026-09-12/dcfems-6001-1789271220.m4a</x:v>
      </x:c>
      <x:c r="R75" s="19" t="str">
        <x:v>https://afpd-accountability.com/police-radio/?date=2026-09-12</x:v>
      </x:c>
      <x:c r="S75" s="13" t="n">
        <x:v>4</x:v>
      </x:c>
    </x:row>
    <x:row r="76" ht="60" customHeight="1">
      <x:c r="A76" s="13" t="str">
        <x:v>E069</x:v>
      </x:c>
      <x:c r="B76" s="13" t="str">
        <x:v>Cox</x:v>
      </x:c>
      <x:c r="C76" s="14" t="n">
        <x:v>46277</x:v>
      </x:c>
      <x:c r="D76" s="13" t="n">
        <x:v>952</x:v>
      </x:c>
      <x:c r="E76" s="15" t="n">
        <x:v>0.929699074074074</x:v>
      </x:c>
      <x:c r="F76" s="16" t="str">
        <x:v>14590292</x:v>
      </x:c>
      <x:c r="G76" s="13" t="n">
        <x:v>953</x:v>
      </x:c>
      <x:c r="H76" s="15" t="n">
        <x:v>0.9297453703703704</x:v>
      </x:c>
      <x:c r="I76" s="17" t="n">
        <x:f>ROUND((H76-E76)*86400,0)</x:f>
        <x:v>4</x:v>
      </x:c>
      <x:c r="J76" s="16" t="str">
        <x:v>14580155</x:v>
      </x:c>
      <x:c r="K76" s="13" t="str">
        <x:v>[Hey, Cox on here?]</x:v>
      </x:c>
      <x:c r="L76" s="13" t="str">
        <x:v>Go ahead.</x:v>
      </x:c>
      <x:c r="M76" s="13" t="str">
        <x:v>Transcript association</x:v>
      </x:c>
      <x:c r="N76" s="13" t="str"/>
      <x:c r="O76" s="18" t="str">
        <x:v>Not reviewed</x:v>
      </x:c>
      <x:c r="P76" s="19" t="str">
        <x:v>https://afpd-accountability.com/records/openmhz/openmhz-afpd-car-to-car-2026-09-12/dcfems-6001-1789273126.m4a</x:v>
      </x:c>
      <x:c r="Q76" s="19" t="str">
        <x:v>https://afpd-accountability.com/records/openmhz/openmhz-afpd-car-to-car-2026-09-12/dcfems-6001-1789273130.m4a</x:v>
      </x:c>
      <x:c r="R76" s="19" t="str">
        <x:v>https://afpd-accountability.com/police-radio/?date=2026-09-12</x:v>
      </x:c>
      <x:c r="S76" s="13" t="n">
        <x:v>4</x:v>
      </x:c>
    </x:row>
    <x:row r="77" ht="60" customHeight="1">
      <x:c r="A77" s="13" t="str">
        <x:v>E070</x:v>
      </x:c>
      <x:c r="B77" s="13" t="str">
        <x:v>Hawkins</x:v>
      </x:c>
      <x:c r="C77" s="14" t="n">
        <x:v>46277</x:v>
      </x:c>
      <x:c r="D77" s="13" t="n">
        <x:v>980</x:v>
      </x:c>
      <x:c r="E77" s="15" t="n">
        <x:v>0.9803587962962963</x:v>
      </x:c>
      <x:c r="F77" s="16" t="str">
        <x:v>14590045</x:v>
      </x:c>
      <x:c r="G77" s="13" t="n">
        <x:v>981</x:v>
      </x:c>
      <x:c r="H77" s="15" t="n">
        <x:v>0.9804513888888889</x:v>
      </x:c>
      <x:c r="I77" s="17" t="n">
        <x:f>ROUND((H77-E77)*86400,0)</x:f>
        <x:v>8</x:v>
      </x:c>
      <x:c r="J77" s="16" t="str">
        <x:v>14590036</x:v>
      </x:c>
      <x:c r="K77" s="13" t="str">
        <x:v>Hey, [Hawkins?], [you got me / you copy?] What's your 20?</x:v>
      </x:c>
      <x:c r="L77" s="13" t="str">
        <x:v>At the door.</x:v>
      </x:c>
      <x:c r="M77" s="13" t="str">
        <x:v>Conflicting names on this ID</x:v>
      </x:c>
      <x:c r="N77" s="13" t="str">
        <x:v>14590036 also answers hails to Mitch. Keep this as an exchange-level association.</x:v>
      </x:c>
      <x:c r="O77" s="18" t="str">
        <x:v>Not reviewed</x:v>
      </x:c>
      <x:c r="P77" s="19" t="str">
        <x:v>https://afpd-accountability.com/records/openmhz/openmhz-afpd-car-to-car-2026-09-12/dcfems-6001-1789277503.m4a</x:v>
      </x:c>
      <x:c r="Q77" s="19" t="str">
        <x:v>https://afpd-accountability.com/records/openmhz/openmhz-afpd-car-to-car-2026-09-12/dcfems-6001-1789277511.m4a</x:v>
      </x:c>
      <x:c r="R77" s="19" t="str">
        <x:v>https://afpd-accountability.com/police-radio/?date=2026-09-12</x:v>
      </x:c>
      <x:c r="S77" s="13" t="n">
        <x:v>8</x:v>
      </x:c>
    </x:row>
    <x:row r="78" ht="60" customHeight="1">
      <x:c r="A78" s="13" t="str">
        <x:v>E071</x:v>
      </x:c>
      <x:c r="B78" s="13" t="str">
        <x:v>Tonga</x:v>
      </x:c>
      <x:c r="C78" s="14" t="n">
        <x:v>46277</x:v>
      </x:c>
      <x:c r="D78" s="13" t="n">
        <x:v>984</x:v>
      </x:c>
      <x:c r="E78" s="15" t="n">
        <x:v>0.9888773148148148</x:v>
      </x:c>
      <x:c r="F78" s="16" t="str">
        <x:v>14590098</x:v>
      </x:c>
      <x:c r="G78" s="13" t="n">
        <x:v>985</x:v>
      </x:c>
      <x:c r="H78" s="15" t="n">
        <x:v>0.9889236111111112</x:v>
      </x:c>
      <x:c r="I78" s="17" t="n">
        <x:f>ROUND((H78-E78)*86400,0)</x:f>
        <x:v>4</x:v>
      </x:c>
      <x:c r="J78" s="16" t="str">
        <x:v>14590038</x:v>
      </x:c>
      <x:c r="K78" s="13" t="str">
        <x:v>Hey, [Tonga?], you good?</x:v>
      </x:c>
      <x:c r="L78" s="13" t="str">
        <x:v>Yeah, [unclear phrase about 'code four' and 'tricking me.']</x:v>
      </x:c>
      <x:c r="M78" s="13" t="str">
        <x:v>Transcript association</x:v>
      </x:c>
      <x:c r="N78" s="13" t="str"/>
      <x:c r="O78" s="18" t="str">
        <x:v>Not reviewed</x:v>
      </x:c>
      <x:c r="P78" s="19" t="str">
        <x:v>https://afpd-accountability.com/records/openmhz/openmhz-afpd-car-to-car-2026-09-12/dcfems-6001-1789278239.m4a</x:v>
      </x:c>
      <x:c r="Q78" s="19" t="str">
        <x:v>https://afpd-accountability.com/records/openmhz/openmhz-afpd-car-to-car-2026-09-12/dcfems-6001-1789278243.m4a</x:v>
      </x:c>
      <x:c r="R78" s="19" t="str">
        <x:v>https://afpd-accountability.com/police-radio/?date=2026-09-12</x:v>
      </x:c>
      <x:c r="S78" s="13" t="n">
        <x:v>4</x:v>
      </x:c>
    </x:row>
    <x:row r="79" ht="60" customHeight="1">
      <x:c r="A79" s="13" t="str">
        <x:v>E072</x:v>
      </x:c>
      <x:c r="B79" s="13" t="str">
        <x:v>Jake</x:v>
      </x:c>
      <x:c r="C79" s="14" t="n">
        <x:v>46278</x:v>
      </x:c>
      <x:c r="D79" s="13" t="n">
        <x:v>12</x:v>
      </x:c>
      <x:c r="E79" s="15" t="n">
        <x:v>0.2547337962962963</x:v>
      </x:c>
      <x:c r="F79" s="16" t="str">
        <x:v>14590105</x:v>
      </x:c>
      <x:c r="G79" s="13" t="n">
        <x:v>13</x:v>
      </x:c>
      <x:c r="H79" s="15" t="n">
        <x:v>0.25480324074074073</x:v>
      </x:c>
      <x:c r="I79" s="17" t="n">
        <x:f>ROUND((H79-E79)*86400,0)</x:f>
        <x:v>6</x:v>
      </x:c>
      <x:c r="J79" s="16" t="str">
        <x:v>14590118</x:v>
      </x:c>
      <x:c r="K79" s="13" t="str">
        <x:v>Hey Jake, I'm gonna let this car go [unclear—possibly “and head back AF”].</x:v>
      </x:c>
      <x:c r="L79" s="13" t="str">
        <x:v>Copy.</x:v>
      </x:c>
      <x:c r="M79" s="13" t="str">
        <x:v>Transcript association</x:v>
      </x:c>
      <x:c r="N79" s="13" t="str">
        <x:v>More than one officer on the roster uses Jake or Jacob. These rows preserve the spoken first name only.</x:v>
      </x:c>
      <x:c r="O79" s="18" t="str">
        <x:v>Not reviewed</x:v>
      </x:c>
      <x:c r="P79" s="19" t="str">
        <x:v>https://afpd-accountability.com/records/openmhz/openmhz-afpd-car-to-car-2026-09-13/dcfems-6001-1789301209.m4a</x:v>
      </x:c>
      <x:c r="Q79" s="19" t="str">
        <x:v>https://afpd-accountability.com/records/openmhz/openmhz-afpd-car-to-car-2026-09-13/dcfems-6001-1789301215.m4a</x:v>
      </x:c>
      <x:c r="R79" s="19" t="str">
        <x:v>https://afpd-accountability.com/police-radio/?date=2026-09-13</x:v>
      </x:c>
      <x:c r="S79" s="13" t="n">
        <x:v>6</x:v>
      </x:c>
    </x:row>
    <x:row r="80" ht="60" customHeight="1">
      <x:c r="A80" s="13" t="str">
        <x:v>E073</x:v>
      </x:c>
      <x:c r="B80" s="13" t="str">
        <x:v>Mason</x:v>
      </x:c>
      <x:c r="C80" s="14" t="n">
        <x:v>46278</x:v>
      </x:c>
      <x:c r="D80" s="13" t="n">
        <x:v>14</x:v>
      </x:c>
      <x:c r="E80" s="15" t="n">
        <x:v>0.25609953703703703</x:v>
      </x:c>
      <x:c r="F80" s="16" t="str">
        <x:v>14590118</x:v>
      </x:c>
      <x:c r="G80" s="13" t="n">
        <x:v>15</x:v>
      </x:c>
      <x:c r="H80" s="15" t="n">
        <x:v>0.2561689814814815</x:v>
      </x:c>
      <x:c r="I80" s="17" t="n">
        <x:f>ROUND((H80-E80)*86400,0)</x:f>
        <x:v>6</x:v>
      </x:c>
      <x:c r="J80" s="16" t="str">
        <x:v>14590315</x:v>
      </x:c>
      <x:c r="K80" s="13" t="str">
        <x:v>[Mason/Jason?], if you're still there, will you stay with [Renter/us?]?</x:v>
      </x:c>
      <x:c r="L80" s="13" t="str">
        <x:v>Yeah, I got you.</x:v>
      </x:c>
      <x:c r="M80" s="13" t="str">
        <x:v>Transcript association</x:v>
      </x:c>
      <x:c r="N80" s="13" t="str"/>
      <x:c r="O80" s="18" t="str">
        <x:v>Not reviewed</x:v>
      </x:c>
      <x:c r="P80" s="19" t="str">
        <x:v>https://afpd-accountability.com/records/openmhz/openmhz-afpd-car-to-car-2026-09-13/dcfems-6001-1789301327.m4a</x:v>
      </x:c>
      <x:c r="Q80" s="19" t="str">
        <x:v>https://afpd-accountability.com/records/openmhz/openmhz-afpd-car-to-car-2026-09-13/dcfems-6001-1789301333.m4a</x:v>
      </x:c>
      <x:c r="R80" s="19" t="str">
        <x:v>https://afpd-accountability.com/police-radio/?date=2026-09-13</x:v>
      </x:c>
      <x:c r="S80" s="13" t="n">
        <x:v>6</x:v>
      </x:c>
    </x:row>
    <x:row r="81" ht="60" customHeight="1">
      <x:c r="A81" s="13" t="str">
        <x:v>E074</x:v>
      </x:c>
      <x:c r="B81" s="13" t="str">
        <x:v>Jake</x:v>
      </x:c>
      <x:c r="C81" s="14" t="n">
        <x:v>46278</x:v>
      </x:c>
      <x:c r="D81" s="13" t="n">
        <x:v>16</x:v>
      </x:c>
      <x:c r="E81" s="15" t="n">
        <x:v>0.2564236111111111</x:v>
      </x:c>
      <x:c r="F81" s="16" t="str">
        <x:v>14590044</x:v>
      </x:c>
      <x:c r="G81" s="13" t="n">
        <x:v>17</x:v>
      </x:c>
      <x:c r="H81" s="15" t="n">
        <x:v>0.25645833333333334</x:v>
      </x:c>
      <x:c r="I81" s="17" t="n">
        <x:f>ROUND((H81-E81)*86400,0)</x:f>
        <x:v>3</x:v>
      </x:c>
      <x:c r="J81" s="16" t="str">
        <x:v>14590118</x:v>
      </x:c>
      <x:c r="K81" s="13" t="str">
        <x:v>Jake, do you know which one it is?</x:v>
      </x:c>
      <x:c r="L81" s="13" t="str">
        <x:v>[Unclear short reply, possibly “That's a big team.”]</x:v>
      </x:c>
      <x:c r="M81" s="13" t="str">
        <x:v>Transcript association</x:v>
      </x:c>
      <x:c r="N81" s="13" t="str">
        <x:v>More than one officer on the roster uses Jake or Jacob. These rows preserve the spoken first name only.</x:v>
      </x:c>
      <x:c r="O81" s="18" t="str">
        <x:v>Not reviewed</x:v>
      </x:c>
      <x:c r="P81" s="19" t="str">
        <x:v>https://afpd-accountability.com/records/openmhz/openmhz-afpd-car-to-car-2026-09-13/dcfems-6001-1789301355.m4a</x:v>
      </x:c>
      <x:c r="Q81" s="19" t="str">
        <x:v>https://afpd-accountability.com/records/openmhz/openmhz-afpd-car-to-car-2026-09-13/dcfems-6001-1789301358.m4a</x:v>
      </x:c>
      <x:c r="R81" s="19" t="str">
        <x:v>https://afpd-accountability.com/police-radio/?date=2026-09-13</x:v>
      </x:c>
      <x:c r="S81" s="13" t="n">
        <x:v>3</x:v>
      </x:c>
    </x:row>
    <x:row r="82" ht="60" customHeight="1">
      <x:c r="A82" s="13" t="str">
        <x:v>E075</x:v>
      </x:c>
      <x:c r="B82" s="13" t="str">
        <x:v>Renter</x:v>
      </x:c>
      <x:c r="C82" s="14" t="n">
        <x:v>46278</x:v>
      </x:c>
      <x:c r="D82" s="13" t="n">
        <x:v>57</x:v>
      </x:c>
      <x:c r="E82" s="15" t="n">
        <x:v>0.31234953703703705</x:v>
      </x:c>
      <x:c r="F82" s="16" t="str">
        <x:v>14590118</x:v>
      </x:c>
      <x:c r="G82" s="13" t="n">
        <x:v>58</x:v>
      </x:c>
      <x:c r="H82" s="15" t="n">
        <x:v>0.3125347222222222</x:v>
      </x:c>
      <x:c r="I82" s="17" t="n">
        <x:f>ROUND((H82-E82)*86400,0)</x:f>
        <x:v>16</x:v>
      </x:c>
      <x:c r="J82" s="16" t="str">
        <x:v>14590087</x:v>
      </x:c>
      <x:c r="K82" s="13" t="str">
        <x:v>[Yeah, ... Rancher ...?]</x:v>
      </x:c>
      <x:c r="L82" s="13" t="str">
        <x:v>It's okay. Too many flavors for me.</x:v>
      </x:c>
      <x:c r="M82" s="13" t="str">
        <x:v>Transcript association</x:v>
      </x:c>
      <x:c r="N82" s="13" t="str"/>
      <x:c r="O82" s="18" t="str">
        <x:v>Not reviewed</x:v>
      </x:c>
      <x:c r="P82" s="19" t="str">
        <x:v>https://afpd-accountability.com/records/openmhz/openmhz-afpd-car-to-car-2026-09-13/dcfems-6001-1789306187.m4a</x:v>
      </x:c>
      <x:c r="Q82" s="19" t="str">
        <x:v>https://afpd-accountability.com/records/openmhz/openmhz-afpd-car-to-car-2026-09-13/dcfems-6001-1789306203.m4a</x:v>
      </x:c>
      <x:c r="R82" s="19" t="str">
        <x:v>https://afpd-accountability.com/police-radio/?date=2026-09-13</x:v>
      </x:c>
      <x:c r="S82" s="13" t="n">
        <x:v>16</x:v>
      </x:c>
    </x:row>
    <x:row r="83" ht="60" customHeight="1">
      <x:c r="A83" s="13" t="str">
        <x:v>E076</x:v>
      </x:c>
      <x:c r="B83" s="13" t="str">
        <x:v>Mason</x:v>
      </x:c>
      <x:c r="C83" s="14" t="n">
        <x:v>46278</x:v>
      </x:c>
      <x:c r="D83" s="13" t="n">
        <x:v>66</x:v>
      </x:c>
      <x:c r="E83" s="15" t="n">
        <x:v>0.33177083333333335</x:v>
      </x:c>
      <x:c r="F83" s="16" t="str">
        <x:v>14590044</x:v>
      </x:c>
      <x:c r="G83" s="13" t="n">
        <x:v>67</x:v>
      </x:c>
      <x:c r="H83" s="15" t="n">
        <x:v>0.3318055555555556</x:v>
      </x:c>
      <x:c r="I83" s="17" t="n">
        <x:f>ROUND((H83-E83)*86400,0)</x:f>
        <x:v>3</x:v>
      </x:c>
      <x:c r="J83" s="16" t="str">
        <x:v>14590315</x:v>
      </x:c>
      <x:c r="K83" s="13" t="str">
        <x:v>Mason, you on here?</x:v>
      </x:c>
      <x:c r="L83" s="13" t="str">
        <x:v>I am, what's up?</x:v>
      </x:c>
      <x:c r="M83" s="13" t="str">
        <x:v>Transcript association</x:v>
      </x:c>
      <x:c r="N83" s="13" t="str"/>
      <x:c r="O83" s="18" t="str">
        <x:v>Not reviewed</x:v>
      </x:c>
      <x:c r="P83" s="19" t="str">
        <x:v>https://afpd-accountability.com/records/openmhz/openmhz-afpd-car-to-car-2026-09-13/dcfems-6001-1789307865.m4a</x:v>
      </x:c>
      <x:c r="Q83" s="19" t="str">
        <x:v>https://afpd-accountability.com/records/openmhz/openmhz-afpd-car-to-car-2026-09-13/dcfems-6001-1789307868.m4a</x:v>
      </x:c>
      <x:c r="R83" s="19" t="str">
        <x:v>https://afpd-accountability.com/police-radio/?date=2026-09-13</x:v>
      </x:c>
      <x:c r="S83" s="13" t="n">
        <x:v>3</x:v>
      </x:c>
    </x:row>
    <x:row r="84" ht="60" customHeight="1">
      <x:c r="A84" s="13" t="str">
        <x:v>E077</x:v>
      </x:c>
      <x:c r="B84" s="13" t="str">
        <x:v>Mason</x:v>
      </x:c>
      <x:c r="C84" s="14" t="n">
        <x:v>46278</x:v>
      </x:c>
      <x:c r="D84" s="13" t="n">
        <x:v>95</x:v>
      </x:c>
      <x:c r="E84" s="15" t="n">
        <x:v>0.45565972222222223</x:v>
      </x:c>
      <x:c r="F84" s="16" t="str">
        <x:v>14590105</x:v>
      </x:c>
      <x:c r="G84" s="13" t="n">
        <x:v>96</x:v>
      </x:c>
      <x:c r="H84" s="15" t="n">
        <x:v>0.4557523148148148</x:v>
      </x:c>
      <x:c r="I84" s="17" t="n">
        <x:f>ROUND((H84-E84)*86400,0)</x:f>
        <x:v>8</x:v>
      </x:c>
      <x:c r="J84" s="16" t="str">
        <x:v>14590237</x:v>
      </x:c>
      <x:c r="K84" s="13" t="str">
        <x:v>[Mason?], you need anything else?</x:v>
      </x:c>
      <x:c r="L84" s="13" t="str">
        <x:v>[No, I'm good? / I'm not good?] Thank you.</x:v>
      </x:c>
      <x:c r="M84" s="13" t="str">
        <x:v>Transcript association</x:v>
      </x:c>
      <x:c r="N84" s="13" t="str"/>
      <x:c r="O84" s="18" t="str">
        <x:v>Not reviewed</x:v>
      </x:c>
      <x:c r="P84" s="19" t="str">
        <x:v>https://afpd-accountability.com/records/openmhz/openmhz-afpd-car-to-car-2026-09-13/dcfems-6001-1789318569.m4a</x:v>
      </x:c>
      <x:c r="Q84" s="19" t="str">
        <x:v>https://afpd-accountability.com/records/openmhz/openmhz-afpd-car-to-car-2026-09-13/dcfems-6001-1789318577.m4a</x:v>
      </x:c>
      <x:c r="R84" s="19" t="str">
        <x:v>https://afpd-accountability.com/police-radio/?date=2026-09-13</x:v>
      </x:c>
      <x:c r="S84" s="13" t="n">
        <x:v>8</x:v>
      </x:c>
    </x:row>
    <x:row r="85" ht="60" customHeight="1">
      <x:c r="A85" s="13" t="str">
        <x:v>E078</x:v>
      </x:c>
      <x:c r="B85" s="13" t="str">
        <x:v>Renter</x:v>
      </x:c>
      <x:c r="C85" s="14" t="n">
        <x:v>46278</x:v>
      </x:c>
      <x:c r="D85" s="13" t="n">
        <x:v>103</x:v>
      </x:c>
      <x:c r="E85" s="15" t="n">
        <x:v>0.4568055555555556</x:v>
      </x:c>
      <x:c r="F85" s="16" t="str">
        <x:v>14590105</x:v>
      </x:c>
      <x:c r="G85" s="13" t="n">
        <x:v>104</x:v>
      </x:c>
      <x:c r="H85" s="15" t="n">
        <x:v>0.456875</x:v>
      </x:c>
      <x:c r="I85" s="17" t="n">
        <x:f>ROUND((H85-E85)*86400,0)</x:f>
        <x:v>6</x:v>
      </x:c>
      <x:c r="J85" s="16" t="str">
        <x:v>14590087</x:v>
      </x:c>
      <x:c r="K85" s="13" t="str">
        <x:v>[Renter?], I still have your fancy cuffs. Where you at?</x:v>
      </x:c>
      <x:c r="L85" s="13" t="str">
        <x:v>Uh, by the PD.</x:v>
      </x:c>
      <x:c r="M85" s="13" t="str">
        <x:v>Transcript association</x:v>
      </x:c>
      <x:c r="N85" s="13" t="str"/>
      <x:c r="O85" s="18" t="str">
        <x:v>Not reviewed</x:v>
      </x:c>
      <x:c r="P85" s="19" t="str">
        <x:v>https://afpd-accountability.com/records/openmhz/openmhz-afpd-car-to-car-2026-09-13/dcfems-6001-1789318668.m4a</x:v>
      </x:c>
      <x:c r="Q85" s="19" t="str">
        <x:v>https://afpd-accountability.com/records/openmhz/openmhz-afpd-car-to-car-2026-09-13/dcfems-6001-1789318674.m4a</x:v>
      </x:c>
      <x:c r="R85" s="19" t="str">
        <x:v>https://afpd-accountability.com/police-radio/?date=2026-09-13</x:v>
      </x:c>
      <x:c r="S85" s="13" t="n">
        <x:v>6</x:v>
      </x:c>
    </x:row>
    <x:row r="86" ht="60" customHeight="1">
      <x:c r="A86" s="13" t="str">
        <x:v>E079</x:v>
      </x:c>
      <x:c r="B86" s="13" t="str">
        <x:v>Richardson / Cole</x:v>
      </x:c>
      <x:c r="C86" s="14" t="n">
        <x:v>46278</x:v>
      </x:c>
      <x:c r="D86" s="13" t="n">
        <x:v>130</x:v>
      </x:c>
      <x:c r="E86" s="15" t="n">
        <x:v>0.5091203703703704</x:v>
      </x:c>
      <x:c r="F86" s="16" t="str">
        <x:v>14590105</x:v>
      </x:c>
      <x:c r="G86" s="13" t="n">
        <x:v>131</x:v>
      </x:c>
      <x:c r="H86" s="15" t="n">
        <x:v>0.5091550925925926</x:v>
      </x:c>
      <x:c r="I86" s="17" t="n">
        <x:f>ROUND((H86-E86)*86400,0)</x:f>
        <x:v>3</x:v>
      </x:c>
      <x:c r="J86" s="16" t="str">
        <x:v>14590123</x:v>
      </x:c>
      <x:c r="K86" s="13" t="str">
        <x:v>A little stroll down memory lane, [Cole?].</x:v>
      </x:c>
      <x:c r="L86" s="13" t="str">
        <x:v>Yeah, that was actually trippy.</x:v>
      </x:c>
      <x:c r="M86" s="13" t="str">
        <x:v>Transcript association</x:v>
      </x:c>
      <x:c r="N86" s="13" t="str"/>
      <x:c r="O86" s="18" t="str">
        <x:v>Not reviewed</x:v>
      </x:c>
      <x:c r="P86" s="19" t="str">
        <x:v>https://afpd-accountability.com/records/openmhz/openmhz-afpd-car-to-car-2026-09-13/dcfems-6001-1789323188.m4a</x:v>
      </x:c>
      <x:c r="Q86" s="19" t="str">
        <x:v>https://afpd-accountability.com/records/openmhz/openmhz-afpd-car-to-car-2026-09-13/dcfems-6001-1789323191.m4a</x:v>
      </x:c>
      <x:c r="R86" s="19" t="str">
        <x:v>https://afpd-accountability.com/police-radio/?date=2026-09-13</x:v>
      </x:c>
      <x:c r="S86" s="13" t="n">
        <x:v>3</x:v>
      </x:c>
    </x:row>
    <x:row r="87" ht="60" customHeight="1">
      <x:c r="A87" s="13" t="str">
        <x:v>E080</x:v>
      </x:c>
      <x:c r="B87" s="13" t="str">
        <x:v>Cox</x:v>
      </x:c>
      <x:c r="C87" s="14" t="n">
        <x:v>46278</x:v>
      </x:c>
      <x:c r="D87" s="13" t="n">
        <x:v>305</x:v>
      </x:c>
      <x:c r="E87" s="15" t="n">
        <x:v>0.8261805555555556</x:v>
      </x:c>
      <x:c r="F87" s="16" t="str">
        <x:v>14590038</x:v>
      </x:c>
      <x:c r="G87" s="13" t="n">
        <x:v>306</x:v>
      </x:c>
      <x:c r="H87" s="15" t="n">
        <x:v>0.8262731481481481</x:v>
      </x:c>
      <x:c r="I87" s="17" t="n">
        <x:f>ROUND((H87-E87)*86400,0)</x:f>
        <x:v>8</x:v>
      </x:c>
      <x:c r="J87" s="16" t="str">
        <x:v>14590020</x:v>
      </x:c>
      <x:c r="K87" s="13" t="str">
        <x:v>Cox, do they have me out on this?</x:v>
      </x:c>
      <x:c r="L87" s="13" t="str">
        <x:v>[Unclear short reply.]</x:v>
      </x:c>
      <x:c r="M87" s="13" t="str">
        <x:v>Transcript association</x:v>
      </x:c>
      <x:c r="N87" s="13" t="str"/>
      <x:c r="O87" s="18" t="str">
        <x:v>Not reviewed</x:v>
      </x:c>
      <x:c r="P87" s="19" t="str">
        <x:v>https://afpd-accountability.com/records/openmhz/openmhz-afpd-car-to-car-2026-09-13/dcfems-6001-1789350582.m4a</x:v>
      </x:c>
      <x:c r="Q87" s="19" t="str">
        <x:v>https://afpd-accountability.com/records/openmhz/openmhz-afpd-car-to-car-2026-09-13/dcfems-6001-1789350590.m4a</x:v>
      </x:c>
      <x:c r="R87" s="19" t="str">
        <x:v>https://afpd-accountability.com/police-radio/?date=2026-09-13</x:v>
      </x:c>
      <x:c r="S87" s="13" t="n">
        <x:v>8</x:v>
      </x:c>
    </x:row>
    <x:row r="88" ht="60" customHeight="1">
      <x:c r="A88" s="13" t="str">
        <x:v>E081</x:v>
      </x:c>
      <x:c r="B88" s="13" t="str">
        <x:v>Cox</x:v>
      </x:c>
      <x:c r="C88" s="14" t="n">
        <x:v>46278</x:v>
      </x:c>
      <x:c r="D88" s="13" t="n">
        <x:v>309</x:v>
      </x:c>
      <x:c r="E88" s="15" t="n">
        <x:v>0.853738425925926</x:v>
      </x:c>
      <x:c r="F88" s="16" t="str">
        <x:v>14590107</x:v>
      </x:c>
      <x:c r="G88" s="13" t="n">
        <x:v>310</x:v>
      </x:c>
      <x:c r="H88" s="15" t="n">
        <x:v>0.8538310185185185</x:v>
      </x:c>
      <x:c r="I88" s="17" t="n">
        <x:f>ROUND((H88-E88)*86400,0)</x:f>
        <x:v>8</x:v>
      </x:c>
      <x:c r="J88" s="16" t="str">
        <x:v>14590020</x:v>
      </x:c>
      <x:c r="K88" s="13" t="str">
        <x:v>Hey [Cox?], I found her DL. [Unclear phrase] so you know who she is.</x:v>
      </x:c>
      <x:c r="L88" s="13" t="str">
        <x:v>Thank you, sir.</x:v>
      </x:c>
      <x:c r="M88" s="13" t="str">
        <x:v>Transcript association</x:v>
      </x:c>
      <x:c r="N88" s="13" t="str"/>
      <x:c r="O88" s="18" t="str">
        <x:v>Not reviewed</x:v>
      </x:c>
      <x:c r="P88" s="19" t="str">
        <x:v>https://afpd-accountability.com/records/openmhz/openmhz-afpd-car-to-car-2026-09-13/dcfems-6001-1789352963.m4a</x:v>
      </x:c>
      <x:c r="Q88" s="19" t="str">
        <x:v>https://afpd-accountability.com/records/openmhz/openmhz-afpd-car-to-car-2026-09-13/dcfems-6001-1789352971.m4a</x:v>
      </x:c>
      <x:c r="R88" s="19" t="str">
        <x:v>https://afpd-accountability.com/police-radio/?date=2026-09-13</x:v>
      </x:c>
      <x:c r="S88" s="13" t="n">
        <x:v>8</x:v>
      </x:c>
    </x:row>
    <x:row r="89" ht="60" customHeight="1">
      <x:c r="A89" s="13" t="str">
        <x:v>E082</x:v>
      </x:c>
      <x:c r="B89" s="13" t="str">
        <x:v>Hawkins</x:v>
      </x:c>
      <x:c r="C89" s="14" t="n">
        <x:v>46278</x:v>
      </x:c>
      <x:c r="D89" s="13" t="n">
        <x:v>313</x:v>
      </x:c>
      <x:c r="E89" s="15" t="n">
        <x:v>0.860462962962963</x:v>
      </x:c>
      <x:c r="F89" s="16" t="str">
        <x:v>14590020</x:v>
      </x:c>
      <x:c r="G89" s="13" t="n">
        <x:v>314</x:v>
      </x:c>
      <x:c r="H89" s="15" t="n">
        <x:v>0.8605902777777777</x:v>
      </x:c>
      <x:c r="I89" s="17" t="n">
        <x:f>ROUND((H89-E89)*86400,0)</x:f>
        <x:v>11</x:v>
      </x:c>
      <x:c r="J89" s="16" t="str">
        <x:v>14590107</x:v>
      </x:c>
      <x:c r="K89" s="13" t="str">
        <x:v>Hawkins, the hospital we were thinking about is [Timpanogos?], but Utah Valley is in Provo.</x:v>
      </x:c>
      <x:c r="L89" s="13" t="str">
        <x:v>All right, brother. [Where in Provo?]</x:v>
      </x:c>
      <x:c r="M89" s="13" t="str">
        <x:v>Transcript association</x:v>
      </x:c>
      <x:c r="N89" s="13" t="str"/>
      <x:c r="O89" s="18" t="str">
        <x:v>Not reviewed</x:v>
      </x:c>
      <x:c r="P89" s="19" t="str">
        <x:v>https://afpd-accountability.com/records/openmhz/openmhz-afpd-car-to-car-2026-09-13/dcfems-6001-1789353544.m4a</x:v>
      </x:c>
      <x:c r="Q89" s="19" t="str">
        <x:v>https://afpd-accountability.com/records/openmhz/openmhz-afpd-car-to-car-2026-09-13/dcfems-6001-1789353555.m4a</x:v>
      </x:c>
      <x:c r="R89" s="19" t="str">
        <x:v>https://afpd-accountability.com/police-radio/?date=2026-09-13</x:v>
      </x:c>
      <x:c r="S89" s="13" t="n">
        <x:v>11</x:v>
      </x:c>
    </x:row>
    <x:row r="90" ht="60" customHeight="1">
      <x:c r="A90" s="13" t="str">
        <x:v>E083</x:v>
      </x:c>
      <x:c r="B90" s="13" t="str">
        <x:v>Greg</x:v>
      </x:c>
      <x:c r="C90" s="14" t="n">
        <x:v>46278</x:v>
      </x:c>
      <x:c r="D90" s="13" t="n">
        <x:v>321</x:v>
      </x:c>
      <x:c r="E90" s="15" t="n">
        <x:v>0.8710069444444445</x:v>
      </x:c>
      <x:c r="F90" s="16" t="str">
        <x:v>14590313</x:v>
      </x:c>
      <x:c r="G90" s="13" t="n">
        <x:v>322</x:v>
      </x:c>
      <x:c r="H90" s="15" t="n">
        <x:v>0.8710416666666667</x:v>
      </x:c>
      <x:c r="I90" s="17" t="n">
        <x:f>ROUND((H90-E90)*86400,0)</x:f>
        <x:v>3</x:v>
      </x:c>
      <x:c r="J90" s="16" t="str">
        <x:v>14590098</x:v>
      </x:c>
      <x:c r="K90" s="13" t="str">
        <x:v>Greg, you doing all right?</x:v>
      </x:c>
      <x:c r="L90" s="13" t="str">
        <x:v>Oh, yeah. I don't see anybody up here.</x:v>
      </x:c>
      <x:c r="M90" s="13" t="str">
        <x:v>Transcript association</x:v>
      </x:c>
      <x:c r="N90" s="13" t="str"/>
      <x:c r="O90" s="18" t="str">
        <x:v>Not reviewed</x:v>
      </x:c>
      <x:c r="P90" s="19" t="str">
        <x:v>https://afpd-accountability.com/records/openmhz/openmhz-afpd-car-to-car-2026-09-13/dcfems-6001-1789354455.m4a</x:v>
      </x:c>
      <x:c r="Q90" s="19" t="str">
        <x:v>https://afpd-accountability.com/records/openmhz/openmhz-afpd-car-to-car-2026-09-13/dcfems-6001-1789354458.m4a</x:v>
      </x:c>
      <x:c r="R90" s="19" t="str">
        <x:v>https://afpd-accountability.com/police-radio/?date=2026-09-13</x:v>
      </x:c>
      <x:c r="S90" s="13" t="n">
        <x:v>3</x:v>
      </x:c>
    </x:row>
    <x:row r="91" ht="60" customHeight="1">
      <x:c r="A91" s="13" t="str">
        <x:v>E084</x:v>
      </x:c>
      <x:c r="B91" s="13" t="str">
        <x:v>Cox</x:v>
      </x:c>
      <x:c r="C91" s="14" t="n">
        <x:v>46278</x:v>
      </x:c>
      <x:c r="D91" s="13" t="n">
        <x:v>323</x:v>
      </x:c>
      <x:c r="E91" s="15" t="n">
        <x:v>0.8856712962962963</x:v>
      </x:c>
      <x:c r="F91" s="16" t="str">
        <x:v>14590036</x:v>
      </x:c>
      <x:c r="G91" s="13" t="n">
        <x:v>324</x:v>
      </x:c>
      <x:c r="H91" s="15" t="n">
        <x:v>0.8857175925925926</x:v>
      </x:c>
      <x:c r="I91" s="17" t="n">
        <x:f>ROUND((H91-E91)*86400,0)</x:f>
        <x:v>4</x:v>
      </x:c>
      <x:c r="J91" s="16" t="str">
        <x:v>14590020</x:v>
      </x:c>
      <x:c r="K91" s="13" t="str">
        <x:v>Hey [Cox?], you on here?</x:v>
      </x:c>
      <x:c r="L91" s="13" t="str">
        <x:v>[Unclear short reply.]</x:v>
      </x:c>
      <x:c r="M91" s="13" t="str">
        <x:v>Transcript association</x:v>
      </x:c>
      <x:c r="N91" s="13" t="str"/>
      <x:c r="O91" s="18" t="str">
        <x:v>Not reviewed</x:v>
      </x:c>
      <x:c r="P91" s="19" t="str">
        <x:v>https://afpd-accountability.com/records/openmhz/openmhz-afpd-car-to-car-2026-09-13/dcfems-6001-1789355722.m4a</x:v>
      </x:c>
      <x:c r="Q91" s="19" t="str">
        <x:v>https://afpd-accountability.com/records/openmhz/openmhz-afpd-car-to-car-2026-09-13/dcfems-6001-1789355726.m4a</x:v>
      </x:c>
      <x:c r="R91" s="19" t="str">
        <x:v>https://afpd-accountability.com/police-radio/?date=2026-09-13</x:v>
      </x:c>
      <x:c r="S91" s="13" t="n">
        <x:v>4</x:v>
      </x:c>
    </x:row>
    <x:row r="92" ht="60" customHeight="1">
      <x:c r="A92" s="13" t="str">
        <x:v>E085</x:v>
      </x:c>
      <x:c r="B92" s="13" t="str">
        <x:v>Tonga</x:v>
      </x:c>
      <x:c r="C92" s="14" t="n">
        <x:v>46279</x:v>
      </x:c>
      <x:c r="D92" s="13" t="n">
        <x:v>56</x:v>
      </x:c>
      <x:c r="E92" s="15" t="n">
        <x:v>0.039050925925925926</x:v>
      </x:c>
      <x:c r="F92" s="16" t="str">
        <x:v>14590313</x:v>
      </x:c>
      <x:c r="G92" s="13" t="n">
        <x:v>57</x:v>
      </x:c>
      <x:c r="H92" s="15" t="n">
        <x:v>0.03908564814814815</x:v>
      </x:c>
      <x:c r="I92" s="17" t="n">
        <x:f>ROUND((H92-E92)*86400,0)</x:f>
        <x:v>3</x:v>
      </x:c>
      <x:c r="J92" s="16" t="str">
        <x:v>14590038</x:v>
      </x:c>
      <x:c r="K92" s="13" t="str">
        <x:v>We good, [Thomas / Tonga?]?</x:v>
      </x:c>
      <x:c r="L92" s="13" t="str">
        <x:v>Yeah, I heard a [loud?] bang come from over here when I was sitting watching the front, so I’m just checking it out real quick.</x:v>
      </x:c>
      <x:c r="M92" s="13" t="str">
        <x:v>Transcript association</x:v>
      </x:c>
      <x:c r="N92" s="13" t="str"/>
      <x:c r="O92" s="18" t="str">
        <x:v>Not reviewed</x:v>
      </x:c>
      <x:c r="P92" s="19" t="str">
        <x:v>https://afpd-accountability.com/records/openmhz/openmhz-afpd-car-to-car-2026-09-14/dcfems-6001-1789368974.m4a</x:v>
      </x:c>
      <x:c r="Q92" s="19" t="str">
        <x:v>https://afpd-accountability.com/records/openmhz/openmhz-afpd-car-to-car-2026-09-14/dcfems-6001-1789368977.m4a</x:v>
      </x:c>
      <x:c r="R92" s="19" t="str">
        <x:v>https://afpd-accountability.com/police-radio/?date=2026-09-14</x:v>
      </x:c>
      <x:c r="S92" s="13" t="n">
        <x:v>3</x:v>
      </x:c>
    </x:row>
    <x:row r="93" ht="60" customHeight="1">
      <x:c r="A93" s="13" t="str">
        <x:v>E086</x:v>
      </x:c>
      <x:c r="B93" s="13" t="str">
        <x:v>Tonga</x:v>
      </x:c>
      <x:c r="C93" s="14" t="n">
        <x:v>46279</x:v>
      </x:c>
      <x:c r="D93" s="13" t="n">
        <x:v>66</x:v>
      </x:c>
      <x:c r="E93" s="15" t="n">
        <x:v>0.045162037037037035</x:v>
      </x:c>
      <x:c r="F93" s="16" t="str">
        <x:v>14590313</x:v>
      </x:c>
      <x:c r="G93" s="13" t="n">
        <x:v>67</x:v>
      </x:c>
      <x:c r="H93" s="15" t="n">
        <x:v>0.045208333333333336</x:v>
      </x:c>
      <x:c r="I93" s="17" t="n">
        <x:f>ROUND((H93-E93)*86400,0)</x:f>
        <x:v>4</x:v>
      </x:c>
      <x:c r="J93" s="16" t="str">
        <x:v>14590345</x:v>
      </x:c>
      <x:c r="K93" s="13" t="str">
        <x:v>[Tom / Tonga?], the park is clear.</x:v>
      </x:c>
      <x:c r="L93" s="13" t="str">
        <x:v>Copy, thank you.</x:v>
      </x:c>
      <x:c r="M93" s="13" t="str">
        <x:v>Transcript association</x:v>
      </x:c>
      <x:c r="N93" s="13" t="str"/>
      <x:c r="O93" s="18" t="str">
        <x:v>Not reviewed</x:v>
      </x:c>
      <x:c r="P93" s="19" t="str">
        <x:v>https://afpd-accountability.com/records/openmhz/openmhz-afpd-car-to-car-2026-09-14/dcfems-6001-1789369502.m4a</x:v>
      </x:c>
      <x:c r="Q93" s="19" t="str">
        <x:v>https://afpd-accountability.com/records/openmhz/openmhz-afpd-car-to-car-2026-09-14/dcfems-6001-1789369506.m4a</x:v>
      </x:c>
      <x:c r="R93" s="19" t="str">
        <x:v>https://afpd-accountability.com/police-radio/?date=2026-09-14</x:v>
      </x:c>
      <x:c r="S93" s="13" t="n">
        <x:v>4</x:v>
      </x:c>
    </x:row>
    <x:row r="94" ht="60" customHeight="1">
      <x:c r="A94" s="13" t="str">
        <x:v>E087</x:v>
      </x:c>
      <x:c r="B94" s="13" t="str">
        <x:v>Greg</x:v>
      </x:c>
      <x:c r="C94" s="14" t="n">
        <x:v>46279</x:v>
      </x:c>
      <x:c r="D94" s="13" t="n">
        <x:v>88</x:v>
      </x:c>
      <x:c r="E94" s="15" t="n">
        <x:v>0.18237268518518518</x:v>
      </x:c>
      <x:c r="F94" s="16" t="str">
        <x:v>14590107</x:v>
      </x:c>
      <x:c r="G94" s="13" t="n">
        <x:v>89</x:v>
      </x:c>
      <x:c r="H94" s="15" t="n">
        <x:v>0.18244212962962963</x:v>
      </x:c>
      <x:c r="I94" s="17" t="n">
        <x:f>ROUND((H94-E94)*86400,0)</x:f>
        <x:v>6</x:v>
      </x:c>
      <x:c r="J94" s="16" t="str">
        <x:v>14590098</x:v>
      </x:c>
      <x:c r="K94" s="13" t="str">
        <x:v>Have you given them forms yet, Greg?</x:v>
      </x:c>
      <x:c r="L94" s="13" t="str">
        <x:v>Negative. I was just barely starting to talk to [him / them]. Driver one is the one that’s going westbound. She ran the light. She doesn’t speak English.</x:v>
      </x:c>
      <x:c r="M94" s="13" t="str">
        <x:v>Transcript association</x:v>
      </x:c>
      <x:c r="N94" s="13" t="str"/>
      <x:c r="O94" s="18" t="str">
        <x:v>Not reviewed</x:v>
      </x:c>
      <x:c r="P94" s="19" t="str">
        <x:v>https://afpd-accountability.com/records/openmhz/openmhz-afpd-car-to-car-2026-09-14/dcfems-6001-1789381357.m4a</x:v>
      </x:c>
      <x:c r="Q94" s="19" t="str">
        <x:v>https://afpd-accountability.com/records/openmhz/openmhz-afpd-car-to-car-2026-09-14/dcfems-6001-1789381363.m4a</x:v>
      </x:c>
      <x:c r="R94" s="19" t="str">
        <x:v>https://afpd-accountability.com/police-radio/?date=2026-09-14</x:v>
      </x:c>
      <x:c r="S94" s="13" t="n">
        <x:v>6</x:v>
      </x:c>
    </x:row>
    <x:row r="95" ht="60" customHeight="1">
      <x:c r="A95" s="13" t="str">
        <x:v>E088</x:v>
      </x:c>
      <x:c r="B95" s="13" t="str">
        <x:v>Hawkins</x:v>
      </x:c>
      <x:c r="C95" s="14" t="n">
        <x:v>46279</x:v>
      </x:c>
      <x:c r="D95" s="13" t="n">
        <x:v>93</x:v>
      </x:c>
      <x:c r="E95" s="15" t="n">
        <x:v>0.18574074074074073</x:v>
      </x:c>
      <x:c r="F95" s="16" t="str">
        <x:v>14590020</x:v>
      </x:c>
      <x:c r="G95" s="13" t="n">
        <x:v>94</x:v>
      </x:c>
      <x:c r="H95" s="15" t="n">
        <x:v>0.18578703703703703</x:v>
      </x:c>
      <x:c r="I95" s="17" t="n">
        <x:f>ROUND((H95-E95)*86400,0)</x:f>
        <x:v>4</x:v>
      </x:c>
      <x:c r="J95" s="16" t="str">
        <x:v>14590107</x:v>
      </x:c>
      <x:c r="K95" s="13" t="str">
        <x:v>[Unclear opening], Hawkins, or do you want me to move somewhere else?</x:v>
      </x:c>
      <x:c r="L95" s="13" t="str">
        <x:v>You’re fine. Can you run that [unclear name or vehicle]’s plate for me and send it to me?</x:v>
      </x:c>
      <x:c r="M95" s="13" t="str">
        <x:v>Transcript association</x:v>
      </x:c>
      <x:c r="N95" s="13" t="str"/>
      <x:c r="O95" s="18" t="str">
        <x:v>Not reviewed</x:v>
      </x:c>
      <x:c r="P95" s="19" t="str">
        <x:v>https://afpd-accountability.com/records/openmhz/openmhz-afpd-car-to-car-2026-09-14/dcfems-6001-1789381648.m4a</x:v>
      </x:c>
      <x:c r="Q95" s="19" t="str">
        <x:v>https://afpd-accountability.com/records/openmhz/openmhz-afpd-car-to-car-2026-09-14/dcfems-6001-1789381652.m4a</x:v>
      </x:c>
      <x:c r="R95" s="19" t="str">
        <x:v>https://afpd-accountability.com/police-radio/?date=2026-09-14</x:v>
      </x:c>
      <x:c r="S95" s="13" t="n">
        <x:v>4</x:v>
      </x:c>
    </x:row>
    <x:row r="96" ht="60" customHeight="1">
      <x:c r="A96" s="13" t="str">
        <x:v>E089</x:v>
      </x:c>
      <x:c r="B96" s="13" t="str">
        <x:v>Greg</x:v>
      </x:c>
      <x:c r="C96" s="14" t="n">
        <x:v>46279</x:v>
      </x:c>
      <x:c r="D96" s="13" t="n">
        <x:v>105</x:v>
      </x:c>
      <x:c r="E96" s="15" t="n">
        <x:v>0.19244212962962962</x:v>
      </x:c>
      <x:c r="F96" s="16" t="str">
        <x:v>14590020</x:v>
      </x:c>
      <x:c r="G96" s="13" t="n">
        <x:v>106</x:v>
      </x:c>
      <x:c r="H96" s="15" t="n">
        <x:v>0.1925</x:v>
      </x:c>
      <x:c r="I96" s="17" t="n">
        <x:f>ROUND((H96-E96)*86400,0)</x:f>
        <x:v>5</x:v>
      </x:c>
      <x:c r="J96" s="16" t="str">
        <x:v>14590098</x:v>
      </x:c>
      <x:c r="K96" s="13" t="str">
        <x:v>Greg, look at this GMC coming up. That's kind of cool.</x:v>
      </x:c>
      <x:c r="L96" s="13" t="str">
        <x:v>Yeah, it's one of those electric ones.</x:v>
      </x:c>
      <x:c r="M96" s="13" t="str">
        <x:v>Transcript association</x:v>
      </x:c>
      <x:c r="N96" s="13" t="str"/>
      <x:c r="O96" s="18" t="str">
        <x:v>Not reviewed</x:v>
      </x:c>
      <x:c r="P96" s="19" t="str">
        <x:v>https://afpd-accountability.com/records/openmhz/openmhz-afpd-car-to-car-2026-09-14/dcfems-6001-1789382227.m4a</x:v>
      </x:c>
      <x:c r="Q96" s="19" t="str">
        <x:v>https://afpd-accountability.com/records/openmhz/openmhz-afpd-car-to-car-2026-09-14/dcfems-6001-1789382232.m4a</x:v>
      </x:c>
      <x:c r="R96" s="19" t="str">
        <x:v>https://afpd-accountability.com/police-radio/?date=2026-09-14</x:v>
      </x:c>
      <x:c r="S96" s="13" t="n">
        <x:v>5</x:v>
      </x:c>
    </x:row>
    <x:row r="97" ht="60" customHeight="1">
      <x:c r="A97" s="13" t="str">
        <x:v>E090</x:v>
      </x:c>
      <x:c r="B97" s="13" t="str">
        <x:v>McKay</x:v>
      </x:c>
      <x:c r="C97" s="14" t="n">
        <x:v>46279</x:v>
      </x:c>
      <x:c r="D97" s="13" t="n">
        <x:v>129</x:v>
      </x:c>
      <x:c r="E97" s="15" t="n">
        <x:v>0.3600462962962963</x:v>
      </x:c>
      <x:c r="F97" s="16" t="str">
        <x:v>14590100</x:v>
      </x:c>
      <x:c r="G97" s="13" t="n">
        <x:v>130</x:v>
      </x:c>
      <x:c r="H97" s="15" t="n">
        <x:v>0.3602430555555556</x:v>
      </x:c>
      <x:c r="I97" s="17" t="n">
        <x:f>ROUND((H97-E97)*86400,0)</x:f>
        <x:v>17</x:v>
      </x:c>
      <x:c r="J97" s="16" t="str">
        <x:v>14590102</x:v>
      </x:c>
      <x:c r="K97" s="13" t="str">
        <x:v>[McKay?], do you want me to take the follow-up? [Unclear final question.]</x:v>
      </x:c>
      <x:c r="L97" s="13" t="str">
        <x:v>No, [that / I] should be good. I appreciate it.</x:v>
      </x:c>
      <x:c r="M97" s="13" t="str">
        <x:v>Transcript association</x:v>
      </x:c>
      <x:c r="N97" s="13" t="str"/>
      <x:c r="O97" s="18" t="str">
        <x:v>Not reviewed</x:v>
      </x:c>
      <x:c r="P97" s="19" t="str">
        <x:v>https://afpd-accountability.com/records/openmhz/openmhz-afpd-car-to-car-2026-09-14/dcfems-6001-1789396708.m4a</x:v>
      </x:c>
      <x:c r="Q97" s="19" t="str">
        <x:v>https://afpd-accountability.com/records/openmhz/openmhz-afpd-car-to-car-2026-09-14/dcfems-6001-1789396725.m4a</x:v>
      </x:c>
      <x:c r="R97" s="19" t="str">
        <x:v>https://afpd-accountability.com/police-radio/?date=2026-09-14</x:v>
      </x:c>
      <x:c r="S97" s="13" t="n">
        <x:v>17</x:v>
      </x:c>
    </x:row>
    <x:row r="98" ht="60" customHeight="1">
      <x:c r="A98" s="13" t="str">
        <x:v>E091</x:v>
      </x:c>
      <x:c r="B98" s="13" t="str">
        <x:v>McKay</x:v>
      </x:c>
      <x:c r="C98" s="14" t="n">
        <x:v>46279</x:v>
      </x:c>
      <x:c r="D98" s="13" t="n">
        <x:v>131</x:v>
      </x:c>
      <x:c r="E98" s="15" t="n">
        <x:v>0.36041666666666666</x:v>
      </x:c>
      <x:c r="F98" s="16" t="str">
        <x:v>14590170</x:v>
      </x:c>
      <x:c r="G98" s="13" t="n">
        <x:v>132</x:v>
      </x:c>
      <x:c r="H98" s="15" t="n">
        <x:v>0.3606828703703704</x:v>
      </x:c>
      <x:c r="I98" s="17" t="n">
        <x:f>ROUND((H98-E98)*86400,0)</x:f>
        <x:v>23</x:v>
      </x:c>
      <x:c r="J98" s="16" t="str">
        <x:v>14590102</x:v>
      </x:c>
      <x:c r="K98" s="13" t="str">
        <x:v>[McKay?], that’s actually gonna be my follow-up. I’ve been dealing with this lady. It really needs to be passed back to detectives as a follow-up, but you’re always welcome to call and see what she wants before passing her. I can do it, whatever you want.</x:v>
      </x:c>
      <x:c r="L98" s="13" t="str">
        <x:v>Sounds good.</x:v>
      </x:c>
      <x:c r="M98" s="13" t="str">
        <x:v>Transcript association</x:v>
      </x:c>
      <x:c r="N98" s="13" t="str"/>
      <x:c r="O98" s="18" t="str">
        <x:v>Not reviewed</x:v>
      </x:c>
      <x:c r="P98" s="19" t="str">
        <x:v>https://afpd-accountability.com/records/openmhz/openmhz-afpd-car-to-car-2026-09-14/dcfems-6001-1789396740.m4a</x:v>
      </x:c>
      <x:c r="Q98" s="19" t="str">
        <x:v>https://afpd-accountability.com/records/openmhz/openmhz-afpd-car-to-car-2026-09-14/dcfems-6001-1789396763.m4a</x:v>
      </x:c>
      <x:c r="R98" s="19" t="str">
        <x:v>https://afpd-accountability.com/police-radio/?date=2026-09-14</x:v>
      </x:c>
      <x:c r="S98" s="13" t="n">
        <x:v>23</x:v>
      </x:c>
    </x:row>
    <x:row r="99" ht="60" customHeight="1">
      <x:c r="A99" s="13" t="str">
        <x:v>E092</x:v>
      </x:c>
      <x:c r="B99" s="13" t="str">
        <x:v>Pitt</x:v>
      </x:c>
      <x:c r="C99" s="14" t="n">
        <x:v>46279</x:v>
      </x:c>
      <x:c r="D99" s="13" t="n">
        <x:v>240</x:v>
      </x:c>
      <x:c r="E99" s="15" t="n">
        <x:v>0.8646643518518519</x:v>
      </x:c>
      <x:c r="F99" s="16" t="str">
        <x:v>14590095</x:v>
      </x:c>
      <x:c r="G99" s="13" t="n">
        <x:v>241</x:v>
      </x:c>
      <x:c r="H99" s="15" t="n">
        <x:v>0.8647916666666666</x:v>
      </x:c>
      <x:c r="I99" s="17" t="n">
        <x:f>ROUND((H99-E99)*86400,0)</x:f>
        <x:v>11</x:v>
      </x:c>
      <x:c r="J99" s="16" t="str">
        <x:v>14590114</x:v>
      </x:c>
      <x:c r="K99" s="13" t="str">
        <x:v>Hey, [Pitt?], it’s the same kid you dealt with a couple months ago at this group home.</x:v>
      </x:c>
      <x:c r="L99" s="13" t="str">
        <x:v>All right, copy.</x:v>
      </x:c>
      <x:c r="M99" s="13" t="str">
        <x:v>Transcript association</x:v>
      </x:c>
      <x:c r="N99" s="13" t="str"/>
      <x:c r="O99" s="18" t="str">
        <x:v>Not reviewed</x:v>
      </x:c>
      <x:c r="P99" s="19" t="str">
        <x:v>https://afpd-accountability.com/records/openmhz/openmhz-afpd-car-to-car-2026-09-14/dcfems-6001-1789440307.m4a</x:v>
      </x:c>
      <x:c r="Q99" s="19" t="str">
        <x:v>https://afpd-accountability.com/records/openmhz/openmhz-afpd-car-to-car-2026-09-14/dcfems-6001-1789440318.m4a</x:v>
      </x:c>
      <x:c r="R99" s="19" t="str">
        <x:v>https://afpd-accountability.com/police-radio/?date=2026-09-14</x:v>
      </x:c>
      <x:c r="S99" s="13" t="n">
        <x:v>11</x:v>
      </x:c>
    </x:row>
    <x:row r="100" ht="60" customHeight="1">
      <x:c r="A100" s="13" t="str">
        <x:v>E093</x:v>
      </x:c>
      <x:c r="B100" s="13" t="str">
        <x:v>Valadez</x:v>
      </x:c>
      <x:c r="C100" s="14" t="n">
        <x:v>46280</x:v>
      </x:c>
      <x:c r="D100" s="13" t="n">
        <x:v>70</x:v>
      </x:c>
      <x:c r="E100" s="15" t="n">
        <x:v>0.49258101851851854</x:v>
      </x:c>
      <x:c r="F100" s="16" t="str">
        <x:v>14590287</x:v>
      </x:c>
      <x:c r="G100" s="13" t="n">
        <x:v>71</x:v>
      </x:c>
      <x:c r="H100" s="15" t="n">
        <x:v>0.49266203703703704</x:v>
      </x:c>
      <x:c r="I100" s="17" t="n">
        <x:f>ROUND((H100-E100)*86400,0)</x:f>
        <x:v>7</x:v>
      </x:c>
      <x:c r="J100" s="16" t="str">
        <x:v>14590126</x:v>
      </x:c>
      <x:c r="K100" s="13" t="str">
        <x:v>[Didn’t like your answer, did he / Didn’t like your aunt’s a nitty?], huh, Mr. [Valadez?]?</x:v>
      </x:c>
      <x:c r="L100" s="13" t="str">
        <x:v>[I’m going to say it when you say it / I’m here to tell you what you think?].</x:v>
      </x:c>
      <x:c r="M100" s="13" t="str">
        <x:v>Transcript association</x:v>
      </x:c>
      <x:c r="N100" s="13" t="str">
        <x:v>Surname is uncertain in transcript. Do not use this one exchange to prove which Valadez is speaking.</x:v>
      </x:c>
      <x:c r="O100" s="18" t="str">
        <x:v>Not reviewed</x:v>
      </x:c>
      <x:c r="P100" s="19" t="str">
        <x:v>https://afpd-accountability.com/records/openmhz/openmhz-afpd-car-to-car-2026-09-15/dcfems-6001-1789494559.m4a</x:v>
      </x:c>
      <x:c r="Q100" s="19" t="str">
        <x:v>https://afpd-accountability.com/records/openmhz/openmhz-afpd-car-to-car-2026-09-15/dcfems-6001-1789494566.m4a</x:v>
      </x:c>
      <x:c r="R100" s="19" t="str">
        <x:v>https://afpd-accountability.com/police-radio/?date=2026-09-15</x:v>
      </x:c>
      <x:c r="S100" s="13" t="n">
        <x:v>7</x:v>
      </x:c>
    </x:row>
    <x:row r="101" ht="60" customHeight="1">
      <x:c r="A101" s="13" t="str">
        <x:v>E094</x:v>
      </x:c>
      <x:c r="B101" s="13" t="str">
        <x:v>Gonzalez / David</x:v>
      </x:c>
      <x:c r="C101" s="14" t="n">
        <x:v>46280</x:v>
      </x:c>
      <x:c r="D101" s="13" t="n">
        <x:v>165</x:v>
      </x:c>
      <x:c r="E101" s="15" t="n">
        <x:v>0.8264930555555555</x:v>
      </x:c>
      <x:c r="F101" s="16" t="str">
        <x:v>14590115</x:v>
      </x:c>
      <x:c r="G101" s="13" t="n">
        <x:v>166</x:v>
      </x:c>
      <x:c r="H101" s="15" t="n">
        <x:v>0.8266203703703704</x:v>
      </x:c>
      <x:c r="I101" s="17" t="n">
        <x:f>ROUND((H101-E101)*86400,0)</x:f>
        <x:v>11</x:v>
      </x:c>
      <x:c r="J101" s="16" t="str">
        <x:v>14580152</x:v>
      </x:c>
      <x:c r="K101" s="13" t="str">
        <x:v>Hey, [Gonzales / Gonzalez?], I’ll head down to 1100 if you [want to take front / don’t want to take front of you?].</x:v>
      </x:c>
      <x:c r="L101" s="13" t="str">
        <x:v>[Coffee?].</x:v>
      </x:c>
      <x:c r="M101" s="13" t="str">
        <x:v>Transcript association</x:v>
      </x:c>
      <x:c r="N101" s="13" t="str"/>
      <x:c r="O101" s="18" t="str">
        <x:v>Not reviewed</x:v>
      </x:c>
      <x:c r="P101" s="19" t="str">
        <x:v>https://afpd-accountability.com/records/openmhz/openmhz-afpd-car-to-car-2026-09-15/dcfems-6001-1789523409.m4a</x:v>
      </x:c>
      <x:c r="Q101" s="19" t="str">
        <x:v>https://afpd-accountability.com/records/openmhz/openmhz-afpd-car-to-car-2026-09-15/dcfems-6001-1789523420.m4a</x:v>
      </x:c>
      <x:c r="R101" s="19" t="str">
        <x:v>https://afpd-accountability.com/police-radio/?date=2026-09-15</x:v>
      </x:c>
      <x:c r="S101" s="13" t="n">
        <x:v>11</x:v>
      </x:c>
    </x:row>
    <x:row r="102" ht="60" customHeight="1">
      <x:c r="A102" s="13" t="str">
        <x:v>E095</x:v>
      </x:c>
      <x:c r="B102" s="13" t="str">
        <x:v>Ron</x:v>
      </x:c>
      <x:c r="C102" s="14" t="n">
        <x:v>46280</x:v>
      </x:c>
      <x:c r="D102" s="13" t="n">
        <x:v>187</x:v>
      </x:c>
      <x:c r="E102" s="15" t="n">
        <x:v>0.856724537037037</x:v>
      </x:c>
      <x:c r="F102" s="16" t="str">
        <x:v>14590042</x:v>
      </x:c>
      <x:c r="G102" s="13" t="n">
        <x:v>188</x:v>
      </x:c>
      <x:c r="H102" s="15" t="n">
        <x:v>0.8568518518518519</x:v>
      </x:c>
      <x:c r="I102" s="17" t="n">
        <x:f>ROUND((H102-E102)*86400,0)</x:f>
        <x:v>11</x:v>
      </x:c>
      <x:c r="J102" s="16" t="str">
        <x:v>14590037</x:v>
      </x:c>
      <x:c r="K102" s="13" t="str">
        <x:v>[Ron?], are you out here?</x:v>
      </x:c>
      <x:c r="L102" s="13" t="str">
        <x:v>Yeah I'm like just north of the playground.</x:v>
      </x:c>
      <x:c r="M102" s="13" t="str">
        <x:v>Transcript association</x:v>
      </x:c>
      <x:c r="N102" s="13" t="str">
        <x:v>Ron could be a name, nickname, or a transcription of Bronson. Several distinct IDs appear; no roster identity assigned.</x:v>
      </x:c>
      <x:c r="O102" s="18" t="str">
        <x:v>Not reviewed</x:v>
      </x:c>
      <x:c r="P102" s="19" t="str">
        <x:v>https://afpd-accountability.com/records/openmhz/openmhz-afpd-car-to-car-2026-09-15/dcfems-6001-1789526021.m4a</x:v>
      </x:c>
      <x:c r="Q102" s="19" t="str">
        <x:v>https://afpd-accountability.com/records/openmhz/openmhz-afpd-car-to-car-2026-09-15/dcfems-6001-1789526032.m4a</x:v>
      </x:c>
      <x:c r="R102" s="19" t="str">
        <x:v>https://afpd-accountability.com/police-radio/?date=2026-09-15</x:v>
      </x:c>
      <x:c r="S102" s="13" t="n">
        <x:v>11</x:v>
      </x:c>
    </x:row>
    <x:row r="103" ht="60" customHeight="1">
      <x:c r="A103" s="13" t="str">
        <x:v>E096</x:v>
      </x:c>
      <x:c r="B103" s="13" t="str">
        <x:v>Somerville</x:v>
      </x:c>
      <x:c r="C103" s="14" t="n">
        <x:v>46280</x:v>
      </x:c>
      <x:c r="D103" s="13" t="n">
        <x:v>213</x:v>
      </x:c>
      <x:c r="E103" s="15" t="n">
        <x:v>0.9481018518518518</x:v>
      </x:c>
      <x:c r="F103" s="16" t="str">
        <x:v>14590085</x:v>
      </x:c>
      <x:c r="G103" s="13" t="n">
        <x:v>214</x:v>
      </x:c>
      <x:c r="H103" s="15" t="n">
        <x:v>0.9482060185185185</x:v>
      </x:c>
      <x:c r="I103" s="17" t="n">
        <x:f>ROUND((H103-E103)*86400,0)</x:f>
        <x:v>9</x:v>
      </x:c>
      <x:c r="J103" s="16" t="str">
        <x:v>14590042</x:v>
      </x:c>
      <x:c r="K103" s="13" t="str">
        <x:v>Hey, Somerville, I’m on my way down right now.</x:v>
      </x:c>
      <x:c r="L103" s="13" t="str">
        <x:v>We’ll wait for you.</x:v>
      </x:c>
      <x:c r="M103" s="13" t="str">
        <x:v>Transcript association</x:v>
      </x:c>
      <x:c r="N103" s="13" t="str"/>
      <x:c r="O103" s="18" t="str">
        <x:v>Not reviewed</x:v>
      </x:c>
      <x:c r="P103" s="19" t="str">
        <x:v>https://afpd-accountability.com/records/openmhz/openmhz-afpd-car-to-car-2026-09-15/dcfems-6001-1789533916.m4a</x:v>
      </x:c>
      <x:c r="Q103" s="19" t="str">
        <x:v>https://afpd-accountability.com/records/openmhz/openmhz-afpd-car-to-car-2026-09-15/dcfems-6001-1789533925.m4a</x:v>
      </x:c>
      <x:c r="R103" s="19" t="str">
        <x:v>https://afpd-accountability.com/police-radio/?date=2026-09-15</x:v>
      </x:c>
      <x:c r="S103" s="13" t="n">
        <x:v>9</x:v>
      </x:c>
    </x:row>
    <x:row r="104" ht="60" customHeight="1">
      <x:c r="A104" s="13" t="str">
        <x:v>E097</x:v>
      </x:c>
      <x:c r="B104" s="13" t="str">
        <x:v>Somerville</x:v>
      </x:c>
      <x:c r="C104" s="14" t="n">
        <x:v>46281</x:v>
      </x:c>
      <x:c r="D104" s="13" t="n">
        <x:v>14</x:v>
      </x:c>
      <x:c r="E104" s="15" t="n">
        <x:v>0.09515046296296296</x:v>
      </x:c>
      <x:c r="F104" s="16" t="str">
        <x:v>14590085</x:v>
      </x:c>
      <x:c r="G104" s="13" t="n">
        <x:v>15</x:v>
      </x:c>
      <x:c r="H104" s="15" t="n">
        <x:v>0.09520833333333334</x:v>
      </x:c>
      <x:c r="I104" s="17" t="n">
        <x:f>ROUND((H104-E104)*86400,0)</x:f>
        <x:v>5</x:v>
      </x:c>
      <x:c r="J104" s="16" t="str">
        <x:v>14590073</x:v>
      </x:c>
      <x:c r="K104" s="13" t="str">
        <x:v>Somerville, you're taking the next Spanish call.</x:v>
      </x:c>
      <x:c r="L104" s="13" t="str">
        <x:v>No, gracias.</x:v>
      </x:c>
      <x:c r="M104" s="13" t="str">
        <x:v>Transcript association</x:v>
      </x:c>
      <x:c r="N104" s="13" t="str"/>
      <x:c r="O104" s="18" t="str">
        <x:v>Not reviewed</x:v>
      </x:c>
      <x:c r="P104" s="19" t="str">
        <x:v>https://afpd-accountability.com/records/openmhz/openmhz-afpd-car-to-car-2026-09-16/dcfems-6001-1789546621.m4a</x:v>
      </x:c>
      <x:c r="Q104" s="19" t="str">
        <x:v>https://afpd-accountability.com/records/openmhz/openmhz-afpd-car-to-car-2026-09-16/dcfems-6001-1789546626.m4a</x:v>
      </x:c>
      <x:c r="R104" s="19" t="str">
        <x:v>https://afpd-accountability.com/police-radio/?date=2026-09-16</x:v>
      </x:c>
      <x:c r="S104" s="13" t="n">
        <x:v>5</x:v>
      </x:c>
    </x:row>
    <x:row r="105" ht="60" customHeight="1">
      <x:c r="A105" s="13" t="str">
        <x:v>E098</x:v>
      </x:c>
      <x:c r="B105" s="13" t="str">
        <x:v>Jake</x:v>
      </x:c>
      <x:c r="C105" s="14" t="n">
        <x:v>46281</x:v>
      </x:c>
      <x:c r="D105" s="13" t="n">
        <x:v>49</x:v>
      </x:c>
      <x:c r="E105" s="15" t="n">
        <x:v>0.39152777777777775</x:v>
      </x:c>
      <x:c r="F105" s="16" t="str">
        <x:v>14590044</x:v>
      </x:c>
      <x:c r="G105" s="13" t="n">
        <x:v>50</x:v>
      </x:c>
      <x:c r="H105" s="15" t="n">
        <x:v>0.3916087962962963</x:v>
      </x:c>
      <x:c r="I105" s="17" t="n">
        <x:f>ROUND((H105-E105)*86400,0)</x:f>
        <x:v>7</x:v>
      </x:c>
      <x:c r="J105" s="16" t="str">
        <x:v>14590118</x:v>
      </x:c>
      <x:c r="K105" s="13" t="str">
        <x:v>Hey [Jake?], we're about to do the stress shoot, so we're turning our radios off. Call [Joe?] if there's anything crazy.</x:v>
      </x:c>
      <x:c r="L105" s="13" t="str">
        <x:v>Copy.</x:v>
      </x:c>
      <x:c r="M105" s="13" t="str">
        <x:v>Transcript association</x:v>
      </x:c>
      <x:c r="N105" s="13" t="str">
        <x:v>More than one officer on the roster uses Jake or Jacob. These rows preserve the spoken first name only.</x:v>
      </x:c>
      <x:c r="O105" s="18" t="str">
        <x:v>Not reviewed</x:v>
      </x:c>
      <x:c r="P105" s="19" t="str">
        <x:v>https://afpd-accountability.com/records/openmhz/openmhz-afpd-car-to-car-2026-09-16/dcfems-6001-1789572228.m4a</x:v>
      </x:c>
      <x:c r="Q105" s="19" t="str">
        <x:v>https://afpd-accountability.com/records/openmhz/openmhz-afpd-car-to-car-2026-09-16/dcfems-6001-1789572235.m4a</x:v>
      </x:c>
      <x:c r="R105" s="19" t="str">
        <x:v>https://afpd-accountability.com/police-radio/?date=2026-09-16</x:v>
      </x:c>
      <x:c r="S105" s="13" t="n">
        <x:v>7</x:v>
      </x:c>
    </x:row>
    <x:row r="106" ht="60" customHeight="1">
      <x:c r="A106" s="13" t="str">
        <x:v>E099</x:v>
      </x:c>
      <x:c r="B106" s="13" t="str">
        <x:v>Richardson / Cole</x:v>
      </x:c>
      <x:c r="C106" s="14" t="n">
        <x:v>46281</x:v>
      </x:c>
      <x:c r="D106" s="13" t="n">
        <x:v>51</x:v>
      </x:c>
      <x:c r="E106" s="15" t="n">
        <x:v>0.42194444444444446</x:v>
      </x:c>
      <x:c r="F106" s="16" t="str">
        <x:v>14590084</x:v>
      </x:c>
      <x:c r="G106" s="13" t="n">
        <x:v>52</x:v>
      </x:c>
      <x:c r="H106" s="15" t="n">
        <x:v>0.4219907407407407</x:v>
      </x:c>
      <x:c r="I106" s="17" t="n">
        <x:f>ROUND((H106-E106)*86400,0)</x:f>
        <x:v>4</x:v>
      </x:c>
      <x:c r="J106" s="16" t="str">
        <x:v>14590123</x:v>
      </x:c>
      <x:c r="K106" s="13" t="str">
        <x:v>Hey [Cole?], can you take that? I'm [heading up to firearms?].</x:v>
      </x:c>
      <x:c r="L106" s="13" t="str">
        <x:v>Yeah, I just [noticed / felt it].</x:v>
      </x:c>
      <x:c r="M106" s="13" t="str">
        <x:v>Transcript association</x:v>
      </x:c>
      <x:c r="N106" s="13" t="str"/>
      <x:c r="O106" s="18" t="str">
        <x:v>Not reviewed</x:v>
      </x:c>
      <x:c r="P106" s="19" t="str">
        <x:v>https://afpd-accountability.com/records/openmhz/openmhz-afpd-car-to-car-2026-09-16/dcfems-6001-1789574856.m4a</x:v>
      </x:c>
      <x:c r="Q106" s="19" t="str">
        <x:v>https://afpd-accountability.com/records/openmhz/openmhz-afpd-car-to-car-2026-09-16/dcfems-6001-1789574860.m4a</x:v>
      </x:c>
      <x:c r="R106" s="19" t="str">
        <x:v>https://afpd-accountability.com/police-radio/?date=2026-09-16</x:v>
      </x:c>
      <x:c r="S106" s="13" t="n">
        <x:v>4</x:v>
      </x:c>
    </x:row>
    <x:row r="107" ht="60" customHeight="1">
      <x:c r="A107" s="13" t="str">
        <x:v>E100</x:v>
      </x:c>
      <x:c r="B107" s="13" t="str">
        <x:v>Mason</x:v>
      </x:c>
      <x:c r="C107" s="14" t="n">
        <x:v>46281</x:v>
      </x:c>
      <x:c r="D107" s="13" t="n">
        <x:v>73</x:v>
      </x:c>
      <x:c r="E107" s="15" t="n">
        <x:v>0.444224537037037</x:v>
      </x:c>
      <x:c r="F107" s="16" t="str">
        <x:v>14590087</x:v>
      </x:c>
      <x:c r="G107" s="13" t="n">
        <x:v>74</x:v>
      </x:c>
      <x:c r="H107" s="15" t="n">
        <x:v>0.44430555555555556</x:v>
      </x:c>
      <x:c r="I107" s="17" t="n">
        <x:f>ROUND((H107-E107)*86400,0)</x:f>
        <x:v>7</x:v>
      </x:c>
      <x:c r="J107" s="16" t="str">
        <x:v>14590315</x:v>
      </x:c>
      <x:c r="K107" s="13" t="str">
        <x:v>Is that you, [Mason?]?</x:v>
      </x:c>
      <x:c r="L107" s="13" t="str">
        <x:v>[Okay, good / Good night].</x:v>
      </x:c>
      <x:c r="M107" s="13" t="str">
        <x:v>Transcript association</x:v>
      </x:c>
      <x:c r="N107" s="13" t="str"/>
      <x:c r="O107" s="18" t="str">
        <x:v>Not reviewed</x:v>
      </x:c>
      <x:c r="P107" s="19" t="str">
        <x:v>https://afpd-accountability.com/records/openmhz/openmhz-afpd-car-to-car-2026-09-16/dcfems-6001-1789576781.m4a</x:v>
      </x:c>
      <x:c r="Q107" s="19" t="str">
        <x:v>https://afpd-accountability.com/records/openmhz/openmhz-afpd-car-to-car-2026-09-16/dcfems-6001-1789576788.m4a</x:v>
      </x:c>
      <x:c r="R107" s="19" t="str">
        <x:v>https://afpd-accountability.com/police-radio/?date=2026-09-16</x:v>
      </x:c>
      <x:c r="S107" s="13" t="n">
        <x:v>7</x:v>
      </x:c>
    </x:row>
    <x:row r="108" ht="60" customHeight="1">
      <x:c r="A108" s="13" t="str">
        <x:v>E101</x:v>
      </x:c>
      <x:c r="B108" s="13" t="str">
        <x:v>Richardson / Cole</x:v>
      </x:c>
      <x:c r="C108" s="14" t="n">
        <x:v>46281</x:v>
      </x:c>
      <x:c r="D108" s="13" t="n">
        <x:v>95</x:v>
      </x:c>
      <x:c r="E108" s="15" t="n">
        <x:v>0.5237268518518519</x:v>
      </x:c>
      <x:c r="F108" s="16" t="str">
        <x:v>14590118</x:v>
      </x:c>
      <x:c r="G108" s="13" t="n">
        <x:v>96</x:v>
      </x:c>
      <x:c r="H108" s="15" t="n">
        <x:v>0.5237962962962963</x:v>
      </x:c>
      <x:c r="I108" s="17" t="n">
        <x:f>ROUND((H108-E108)*86400,0)</x:f>
        <x:v>6</x:v>
      </x:c>
      <x:c r="J108" s="16" t="str">
        <x:v>14590123</x:v>
      </x:c>
      <x:c r="K108" s="13" t="str">
        <x:v>[Cole?], go straight. It's lunchtime at [the?] high school. You're gonna not be able to go that way.</x:v>
      </x:c>
      <x:c r="L108" s="13" t="str">
        <x:v>[Great?], go straight.</x:v>
      </x:c>
      <x:c r="M108" s="13" t="str">
        <x:v>Transcript association</x:v>
      </x:c>
      <x:c r="N108" s="13" t="str"/>
      <x:c r="O108" s="18" t="str">
        <x:v>Not reviewed</x:v>
      </x:c>
      <x:c r="P108" s="19" t="str">
        <x:v>https://afpd-accountability.com/records/openmhz/openmhz-afpd-car-to-car-2026-09-16/dcfems-6001-1789583650.m4a</x:v>
      </x:c>
      <x:c r="Q108" s="19" t="str">
        <x:v>https://afpd-accountability.com/records/openmhz/openmhz-afpd-car-to-car-2026-09-16/dcfems-6001-1789583656.m4a</x:v>
      </x:c>
      <x:c r="R108" s="19" t="str">
        <x:v>https://afpd-accountability.com/police-radio/?date=2026-09-16</x:v>
      </x:c>
      <x:c r="S108" s="13" t="n">
        <x:v>6</x:v>
      </x:c>
    </x:row>
    <x:row r="109" ht="60" customHeight="1">
      <x:c r="A109" s="13" t="str">
        <x:v>E102</x:v>
      </x:c>
      <x:c r="B109" s="13" t="str">
        <x:v>Jake</x:v>
      </x:c>
      <x:c r="C109" s="14" t="n">
        <x:v>46281</x:v>
      </x:c>
      <x:c r="D109" s="13" t="n">
        <x:v>101</x:v>
      </x:c>
      <x:c r="E109" s="15" t="n">
        <x:v>0.5241203703703704</x:v>
      </x:c>
      <x:c r="F109" s="16" t="str">
        <x:v>14590123</x:v>
      </x:c>
      <x:c r="G109" s="13" t="n">
        <x:v>102</x:v>
      </x:c>
      <x:c r="H109" s="15" t="n">
        <x:v>0.5241898148148149</x:v>
      </x:c>
      <x:c r="I109" s="17" t="n">
        <x:f>ROUND((H109-E109)*86400,0)</x:f>
        <x:v>6</x:v>
      </x:c>
      <x:c r="J109" s="16" t="str">
        <x:v>14590118</x:v>
      </x:c>
      <x:c r="K109" s="13" t="str">
        <x:v>You want to let them exit, or what's your game plan, [Jake?]?</x:v>
      </x:c>
      <x:c r="L109" s="13" t="str">
        <x:v>I'm trying to call right now.</x:v>
      </x:c>
      <x:c r="M109" s="13" t="str">
        <x:v>Transcript association</x:v>
      </x:c>
      <x:c r="N109" s="13" t="str">
        <x:v>More than one officer on the roster uses Jake or Jacob. These rows preserve the spoken first name only.</x:v>
      </x:c>
      <x:c r="O109" s="18" t="str">
        <x:v>Not reviewed</x:v>
      </x:c>
      <x:c r="P109" s="19" t="str">
        <x:v>https://afpd-accountability.com/records/openmhz/openmhz-afpd-car-to-car-2026-09-16/dcfems-6001-1789583684.m4a</x:v>
      </x:c>
      <x:c r="Q109" s="19" t="str">
        <x:v>https://afpd-accountability.com/records/openmhz/openmhz-afpd-car-to-car-2026-09-16/dcfems-6001-1789583690.m4a</x:v>
      </x:c>
      <x:c r="R109" s="19" t="str">
        <x:v>https://afpd-accountability.com/police-radio/?date=2026-09-16</x:v>
      </x:c>
      <x:c r="S109" s="13" t="n">
        <x:v>6</x:v>
      </x:c>
    </x:row>
    <x:row r="110" ht="60" customHeight="1">
      <x:c r="A110" s="13" t="str">
        <x:v>E103</x:v>
      </x:c>
      <x:c r="B110" s="13" t="str">
        <x:v>Mason</x:v>
      </x:c>
      <x:c r="C110" s="14" t="n">
        <x:v>46281</x:v>
      </x:c>
      <x:c r="D110" s="13" t="n">
        <x:v>163</x:v>
      </x:c>
      <x:c r="E110" s="15" t="n">
        <x:v>0.6194212962962963</x:v>
      </x:c>
      <x:c r="F110" s="16" t="str">
        <x:v>14590247</x:v>
      </x:c>
      <x:c r="G110" s="13" t="n">
        <x:v>164</x:v>
      </x:c>
      <x:c r="H110" s="15" t="n">
        <x:v>0.6195138888888889</x:v>
      </x:c>
      <x:c r="I110" s="17" t="n">
        <x:f>ROUND((H110-E110)*86400,0)</x:f>
        <x:v>8</x:v>
      </x:c>
      <x:c r="J110" s="16" t="str">
        <x:v>14590315</x:v>
      </x:c>
      <x:c r="K110" s="13" t="str">
        <x:v>[Mason?], [looking for me / what’s your 20]?</x:v>
      </x:c>
      <x:c r="L110" s="13" t="str">
        <x:v>[I'm?] like right around the corner.</x:v>
      </x:c>
      <x:c r="M110" s="13" t="str">
        <x:v>Transcript association</x:v>
      </x:c>
      <x:c r="N110" s="13" t="str"/>
      <x:c r="O110" s="18" t="str">
        <x:v>Not reviewed</x:v>
      </x:c>
      <x:c r="P110" s="19" t="str">
        <x:v>https://afpd-accountability.com/records/openmhz/openmhz-afpd-car-to-car-2026-09-16/dcfems-6001-1789591918.m4a</x:v>
      </x:c>
      <x:c r="Q110" s="19" t="str">
        <x:v>https://afpd-accountability.com/records/openmhz/openmhz-afpd-car-to-car-2026-09-16/dcfems-6001-1789591926.m4a</x:v>
      </x:c>
      <x:c r="R110" s="19" t="str">
        <x:v>https://afpd-accountability.com/police-radio/?date=2026-09-16</x:v>
      </x:c>
      <x:c r="S110" s="13" t="n">
        <x:v>8</x:v>
      </x:c>
    </x:row>
    <x:row r="111" ht="60" customHeight="1">
      <x:c r="A111" s="13" t="str">
        <x:v>E104</x:v>
      </x:c>
      <x:c r="B111" s="13" t="str">
        <x:v>Mason</x:v>
      </x:c>
      <x:c r="C111" s="14" t="n">
        <x:v>46281</x:v>
      </x:c>
      <x:c r="D111" s="13" t="n">
        <x:v>195</x:v>
      </x:c>
      <x:c r="E111" s="15" t="n">
        <x:v>0.6897916666666667</x:v>
      </x:c>
      <x:c r="F111" s="16" t="str">
        <x:v>14590123</x:v>
      </x:c>
      <x:c r="G111" s="13" t="n">
        <x:v>196</x:v>
      </x:c>
      <x:c r="H111" s="15" t="n">
        <x:v>0.689849537037037</x:v>
      </x:c>
      <x:c r="I111" s="17" t="n">
        <x:f>ROUND((H111-E111)*86400,0)</x:f>
        <x:v>5</x:v>
      </x:c>
      <x:c r="J111" s="16" t="str">
        <x:v>14590315</x:v>
      </x:c>
      <x:c r="K111" s="13" t="str">
        <x:v>[Mason / You guys], [you?] need help on that?</x:v>
      </x:c>
      <x:c r="L111" s="13" t="str">
        <x:v>Negative. I'm [code 4 / gonna go 4 / gonna go for it] for now.</x:v>
      </x:c>
      <x:c r="M111" s="13" t="str">
        <x:v>Transcript association</x:v>
      </x:c>
      <x:c r="N111" s="13" t="str"/>
      <x:c r="O111" s="18" t="str">
        <x:v>Not reviewed</x:v>
      </x:c>
      <x:c r="P111" s="19" t="str">
        <x:v>https://afpd-accountability.com/records/openmhz/openmhz-afpd-car-to-car-2026-09-16/dcfems-6001-1789597998.m4a</x:v>
      </x:c>
      <x:c r="Q111" s="19" t="str">
        <x:v>https://afpd-accountability.com/records/openmhz/openmhz-afpd-car-to-car-2026-09-16/dcfems-6001-1789598003.m4a</x:v>
      </x:c>
      <x:c r="R111" s="19" t="str">
        <x:v>https://afpd-accountability.com/police-radio/?date=2026-09-16</x:v>
      </x:c>
      <x:c r="S111" s="13" t="n">
        <x:v>5</x:v>
      </x:c>
    </x:row>
    <x:row r="112" ht="60" customHeight="1">
      <x:c r="A112" s="13" t="str">
        <x:v>E105</x:v>
      </x:c>
      <x:c r="B112" s="13" t="str">
        <x:v>Mason</x:v>
      </x:c>
      <x:c r="C112" s="14" t="n">
        <x:v>46281</x:v>
      </x:c>
      <x:c r="D112" s="13" t="n">
        <x:v>200</x:v>
      </x:c>
      <x:c r="E112" s="15" t="n">
        <x:v>0.6932870370370371</x:v>
      </x:c>
      <x:c r="F112" s="16" t="str">
        <x:v>14590118</x:v>
      </x:c>
      <x:c r="G112" s="13" t="n">
        <x:v>201</x:v>
      </x:c>
      <x:c r="H112" s="15" t="n">
        <x:v>0.6935069444444445</x:v>
      </x:c>
      <x:c r="I112" s="17" t="n">
        <x:f>ROUND((H112-E112)*86400,0)</x:f>
        <x:v>19</x:v>
      </x:c>
      <x:c r="J112" s="16" t="str">
        <x:v>14590315</x:v>
      </x:c>
      <x:c r="K112" s="13" t="str">
        <x:v>[Mason?], it sounds like that dude is in contact with the vehicle in [Draper?] or something.</x:v>
      </x:c>
      <x:c r="L112" s="13" t="str">
        <x:v>He's in contact with the [RP?].</x:v>
      </x:c>
      <x:c r="M112" s="13" t="str">
        <x:v>Transcript association</x:v>
      </x:c>
      <x:c r="N112" s="13" t="str"/>
      <x:c r="O112" s="18" t="str">
        <x:v>Not reviewed</x:v>
      </x:c>
      <x:c r="P112" s="19" t="str">
        <x:v>https://afpd-accountability.com/records/openmhz/openmhz-afpd-car-to-car-2026-09-16/dcfems-6001-1789598300.m4a</x:v>
      </x:c>
      <x:c r="Q112" s="19" t="str">
        <x:v>https://afpd-accountability.com/records/openmhz/openmhz-afpd-car-to-car-2026-09-16/dcfems-6001-1789598319.m4a</x:v>
      </x:c>
      <x:c r="R112" s="19" t="str">
        <x:v>https://afpd-accountability.com/police-radio/?date=2026-09-16</x:v>
      </x:c>
      <x:c r="S112" s="13" t="n">
        <x:v>19</x:v>
      </x:c>
    </x:row>
    <x:row r="113" ht="60" customHeight="1">
      <x:c r="A113" s="13" t="str">
        <x:v>E106</x:v>
      </x:c>
      <x:c r="B113" s="13" t="str">
        <x:v>Mason</x:v>
      </x:c>
      <x:c r="C113" s="14" t="n">
        <x:v>46281</x:v>
      </x:c>
      <x:c r="D113" s="13" t="n">
        <x:v>206</x:v>
      </x:c>
      <x:c r="E113" s="15" t="n">
        <x:v>0.740011574074074</x:v>
      </x:c>
      <x:c r="F113" s="16" t="str">
        <x:v>14590118</x:v>
      </x:c>
      <x:c r="G113" s="13" t="n">
        <x:v>207</x:v>
      </x:c>
      <x:c r="H113" s="15" t="n">
        <x:v>0.7400810185185185</x:v>
      </x:c>
      <x:c r="I113" s="17" t="n">
        <x:f>ROUND((H113-E113)*86400,0)</x:f>
        <x:v>6</x:v>
      </x:c>
      <x:c r="J113" s="16" t="str">
        <x:v>14590315</x:v>
      </x:c>
      <x:c r="K113" s="13" t="str">
        <x:v>[Mason?], will you call that number?</x:v>
      </x:c>
      <x:c r="L113" s="13" t="str">
        <x:v>I just tried a couple times. [I just got straight to / it just constrained the] voicemail.</x:v>
      </x:c>
      <x:c r="M113" s="13" t="str">
        <x:v>Transcript association</x:v>
      </x:c>
      <x:c r="N113" s="13" t="str"/>
      <x:c r="O113" s="18" t="str">
        <x:v>Not reviewed</x:v>
      </x:c>
      <x:c r="P113" s="19" t="str">
        <x:v>https://afpd-accountability.com/records/openmhz/openmhz-afpd-car-to-car-2026-09-16/dcfems-6001-1789602337.m4a</x:v>
      </x:c>
      <x:c r="Q113" s="19" t="str">
        <x:v>https://afpd-accountability.com/records/openmhz/openmhz-afpd-car-to-car-2026-09-16/dcfems-6001-1789602343.m4a</x:v>
      </x:c>
      <x:c r="R113" s="19" t="str">
        <x:v>https://afpd-accountability.com/police-radio/?date=2026-09-16</x:v>
      </x:c>
      <x:c r="S113" s="13" t="n">
        <x:v>6</x:v>
      </x:c>
    </x:row>
    <x:row r="114" ht="60" customHeight="1">
      <x:c r="A114" s="13" t="str">
        <x:v>E107</x:v>
      </x:c>
      <x:c r="B114" s="13" t="str">
        <x:v>Cox</x:v>
      </x:c>
      <x:c r="C114" s="14" t="n">
        <x:v>46281</x:v>
      </x:c>
      <x:c r="D114" s="13" t="n">
        <x:v>253</x:v>
      </x:c>
      <x:c r="E114" s="15" t="n">
        <x:v>0.765011574074074</x:v>
      </x:c>
      <x:c r="F114" s="16" t="str">
        <x:v>14590247</x:v>
      </x:c>
      <x:c r="G114" s="13" t="n">
        <x:v>254</x:v>
      </x:c>
      <x:c r="H114" s="15" t="n">
        <x:v>0.7650462962962963</x:v>
      </x:c>
      <x:c r="I114" s="17" t="n">
        <x:f>ROUND((H114-E114)*86400,0)</x:f>
        <x:v>3</x:v>
      </x:c>
      <x:c r="J114" s="16" t="str">
        <x:v>14590020</x:v>
      </x:c>
      <x:c r="K114" s="13" t="str">
        <x:v>Thanks, [Cox?].</x:v>
      </x:c>
      <x:c r="L114" s="13" t="str">
        <x:v>Yes, sir.</x:v>
      </x:c>
      <x:c r="M114" s="13" t="str">
        <x:v>Transcript association</x:v>
      </x:c>
      <x:c r="N114" s="13" t="str"/>
      <x:c r="O114" s="18" t="str">
        <x:v>Not reviewed</x:v>
      </x:c>
      <x:c r="P114" s="19" t="str">
        <x:v>https://afpd-accountability.com/records/openmhz/openmhz-afpd-car-to-car-2026-09-16/dcfems-6001-1789604497.m4a</x:v>
      </x:c>
      <x:c r="Q114" s="19" t="str">
        <x:v>https://afpd-accountability.com/records/openmhz/openmhz-afpd-car-to-car-2026-09-16/dcfems-6001-1789604500.m4a</x:v>
      </x:c>
      <x:c r="R114" s="19" t="str">
        <x:v>https://afpd-accountability.com/police-radio/?date=2026-09-16</x:v>
      </x:c>
      <x:c r="S114" s="13" t="n">
        <x:v>3</x:v>
      </x:c>
    </x:row>
    <x:row r="115" ht="60" customHeight="1">
      <x:c r="A115" s="13" t="str">
        <x:v>E108</x:v>
      </x:c>
      <x:c r="B115" s="13" t="str">
        <x:v>Hawkins</x:v>
      </x:c>
      <x:c r="C115" s="14" t="n">
        <x:v>46281</x:v>
      </x:c>
      <x:c r="D115" s="13" t="n">
        <x:v>257</x:v>
      </x:c>
      <x:c r="E115" s="15" t="n">
        <x:v>0.7746064814814815</x:v>
      </x:c>
      <x:c r="F115" s="16" t="str">
        <x:v>14590123</x:v>
      </x:c>
      <x:c r="G115" s="13" t="n">
        <x:v>258</x:v>
      </x:c>
      <x:c r="H115" s="15" t="n">
        <x:v>0.7746412037037037</x:v>
      </x:c>
      <x:c r="I115" s="17" t="n">
        <x:f>ROUND((H115-E115)*86400,0)</x:f>
        <x:v>3</x:v>
      </x:c>
      <x:c r="J115" s="16" t="str">
        <x:v>14590107</x:v>
      </x:c>
      <x:c r="K115" s="13" t="str">
        <x:v>[Hawkins?], will you walk back here?</x:v>
      </x:c>
      <x:c r="L115" s="13" t="str">
        <x:v>Yeah.</x:v>
      </x:c>
      <x:c r="M115" s="13" t="str">
        <x:v>Transcript association</x:v>
      </x:c>
      <x:c r="N115" s="13" t="str"/>
      <x:c r="O115" s="18" t="str">
        <x:v>Not reviewed</x:v>
      </x:c>
      <x:c r="P115" s="19" t="str">
        <x:v>https://afpd-accountability.com/records/openmhz/openmhz-afpd-car-to-car-2026-09-16/dcfems-6001-1789605326.m4a</x:v>
      </x:c>
      <x:c r="Q115" s="19" t="str">
        <x:v>https://afpd-accountability.com/records/openmhz/openmhz-afpd-car-to-car-2026-09-16/dcfems-6001-1789605329.m4a</x:v>
      </x:c>
      <x:c r="R115" s="19" t="str">
        <x:v>https://afpd-accountability.com/police-radio/?date=2026-09-16</x:v>
      </x:c>
      <x:c r="S115" s="13" t="n">
        <x:v>3</x:v>
      </x:c>
    </x:row>
    <x:row r="116" ht="60" customHeight="1">
      <x:c r="A116" s="13" t="str">
        <x:v>E109</x:v>
      </x:c>
      <x:c r="B116" s="13" t="str">
        <x:v>Hawkins</x:v>
      </x:c>
      <x:c r="C116" s="14" t="n">
        <x:v>46281</x:v>
      </x:c>
      <x:c r="D116" s="13" t="n">
        <x:v>303</x:v>
      </x:c>
      <x:c r="E116" s="15" t="n">
        <x:v>0.859363425925926</x:v>
      </x:c>
      <x:c r="F116" s="16" t="str">
        <x:v>14590313</x:v>
      </x:c>
      <x:c r="G116" s="13" t="n">
        <x:v>304</x:v>
      </x:c>
      <x:c r="H116" s="15" t="n">
        <x:v>0.8594907407407407</x:v>
      </x:c>
      <x:c r="I116" s="17" t="n">
        <x:f>ROUND((H116-E116)*86400,0)</x:f>
        <x:v>11</x:v>
      </x:c>
      <x:c r="J116" s="16" t="str">
        <x:v>14590107</x:v>
      </x:c>
      <x:c r="K116" s="13" t="str">
        <x:v>Hey [Hawkins?], is the form on the [unclear], just to do it, correct?</x:v>
      </x:c>
      <x:c r="L116" s="13" t="str">
        <x:v>[No / you know / and now?], it's in the [cabinet / cabinets?] in the PD.</x:v>
      </x:c>
      <x:c r="M116" s="13" t="str">
        <x:v>Transcript association</x:v>
      </x:c>
      <x:c r="N116" s="13" t="str"/>
      <x:c r="O116" s="18" t="str">
        <x:v>Not reviewed</x:v>
      </x:c>
      <x:c r="P116" s="19" t="str">
        <x:v>https://afpd-accountability.com/records/openmhz/openmhz-afpd-car-to-car-2026-09-16/dcfems-6001-1789612649.m4a</x:v>
      </x:c>
      <x:c r="Q116" s="19" t="str">
        <x:v>https://afpd-accountability.com/records/openmhz/openmhz-afpd-car-to-car-2026-09-16/dcfems-6001-1789612660.m4a</x:v>
      </x:c>
      <x:c r="R116" s="19" t="str">
        <x:v>https://afpd-accountability.com/police-radio/?date=2026-09-16</x:v>
      </x:c>
      <x:c r="S116" s="13" t="n">
        <x:v>11</x:v>
      </x:c>
    </x:row>
    <x:row r="117" ht="60" customHeight="1">
      <x:c r="A117" s="13" t="str">
        <x:v>E110</x:v>
      </x:c>
      <x:c r="B117" s="13" t="str">
        <x:v>Mitch</x:v>
      </x:c>
      <x:c r="C117" s="14" t="n">
        <x:v>46281</x:v>
      </x:c>
      <x:c r="D117" s="13" t="n">
        <x:v>306</x:v>
      </x:c>
      <x:c r="E117" s="15" t="n">
        <x:v>0.8624421296296296</x:v>
      </x:c>
      <x:c r="F117" s="16" t="str">
        <x:v>14590045</x:v>
      </x:c>
      <x:c r="G117" s="13" t="n">
        <x:v>307</x:v>
      </x:c>
      <x:c r="H117" s="15" t="n">
        <x:v>0.8625347222222223</x:v>
      </x:c>
      <x:c r="I117" s="17" t="n">
        <x:f>ROUND((H117-E117)*86400,0)</x:f>
        <x:v>8</x:v>
      </x:c>
      <x:c r="J117" s="16" t="str">
        <x:v>14590036</x:v>
      </x:c>
      <x:c r="K117" s="13" t="str">
        <x:v>Hey [Mitch?], so are you on here?</x:v>
      </x:c>
      <x:c r="L117" s="13" t="str">
        <x:v>What's up?</x:v>
      </x:c>
      <x:c r="M117" s="13" t="str">
        <x:v>Transcript association</x:v>
      </x:c>
      <x:c r="N117" s="13" t="str">
        <x:v>14590036 also answers Hawkins. Keep 14590344 separate from 14590036 pending audio and assignment confirmation.</x:v>
      </x:c>
      <x:c r="O117" s="18" t="str">
        <x:v>Not reviewed</x:v>
      </x:c>
      <x:c r="P117" s="19" t="str">
        <x:v>https://afpd-accountability.com/records/openmhz/openmhz-afpd-car-to-car-2026-09-16/dcfems-6001-1789612915.m4a</x:v>
      </x:c>
      <x:c r="Q117" s="19" t="str">
        <x:v>https://afpd-accountability.com/records/openmhz/openmhz-afpd-car-to-car-2026-09-16/dcfems-6001-1789612923.m4a</x:v>
      </x:c>
      <x:c r="R117" s="19" t="str">
        <x:v>https://afpd-accountability.com/police-radio/?date=2026-09-16</x:v>
      </x:c>
      <x:c r="S117" s="13" t="n">
        <x:v>8</x:v>
      </x:c>
    </x:row>
    <x:row r="118" ht="60" customHeight="1">
      <x:c r="A118" s="13" t="str">
        <x:v>E111</x:v>
      </x:c>
      <x:c r="B118" s="13" t="str">
        <x:v>Cox</x:v>
      </x:c>
      <x:c r="C118" s="14" t="n">
        <x:v>46281</x:v>
      </x:c>
      <x:c r="D118" s="13" t="n">
        <x:v>335</x:v>
      </x:c>
      <x:c r="E118" s="15" t="n">
        <x:v>0.9115972222222222</x:v>
      </x:c>
      <x:c r="F118" s="16" t="str">
        <x:v>14590313</x:v>
      </x:c>
      <x:c r="G118" s="13" t="n">
        <x:v>336</x:v>
      </x:c>
      <x:c r="H118" s="15" t="n">
        <x:v>0.9116435185185185</x:v>
      </x:c>
      <x:c r="I118" s="17" t="n">
        <x:f>ROUND((H118-E118)*86400,0)</x:f>
        <x:v>4</x:v>
      </x:c>
      <x:c r="J118" s="16" t="str">
        <x:v>14590020</x:v>
      </x:c>
      <x:c r="K118" s="13" t="str">
        <x:v>There goes [Cox?]. What's up, bro?</x:v>
      </x:c>
      <x:c r="L118" s="13" t="str">
        <x:v>Heyo.</x:v>
      </x:c>
      <x:c r="M118" s="13" t="str">
        <x:v>Transcript association</x:v>
      </x:c>
      <x:c r="N118" s="13" t="str"/>
      <x:c r="O118" s="18" t="str">
        <x:v>Not reviewed</x:v>
      </x:c>
      <x:c r="P118" s="19" t="str">
        <x:v>https://afpd-accountability.com/records/openmhz/openmhz-afpd-car-to-car-2026-09-16/dcfems-6001-1789617162.m4a</x:v>
      </x:c>
      <x:c r="Q118" s="19" t="str">
        <x:v>https://afpd-accountability.com/records/openmhz/openmhz-afpd-car-to-car-2026-09-16/dcfems-6001-1789617166.m4a</x:v>
      </x:c>
      <x:c r="R118" s="19" t="str">
        <x:v>https://afpd-accountability.com/police-radio/?date=2026-09-16</x:v>
      </x:c>
      <x:c r="S118" s="13" t="n">
        <x:v>4</x:v>
      </x:c>
    </x:row>
    <x:row r="119" ht="60" customHeight="1">
      <x:c r="A119" s="13" t="str">
        <x:v>E112</x:v>
      </x:c>
      <x:c r="B119" s="13" t="str">
        <x:v>Cox</x:v>
      </x:c>
      <x:c r="C119" s="14" t="n">
        <x:v>46281</x:v>
      </x:c>
      <x:c r="D119" s="13" t="n">
        <x:v>344</x:v>
      </x:c>
      <x:c r="E119" s="15" t="n">
        <x:v>0.912962962962963</x:v>
      </x:c>
      <x:c r="F119" s="16" t="str">
        <x:v>14590345</x:v>
      </x:c>
      <x:c r="G119" s="13" t="n">
        <x:v>345</x:v>
      </x:c>
      <x:c r="H119" s="15" t="n">
        <x:v>0.9130439814814815</x:v>
      </x:c>
      <x:c r="I119" s="17" t="n">
        <x:f>ROUND((H119-E119)*86400,0)</x:f>
        <x:v>7</x:v>
      </x:c>
      <x:c r="J119" s="16" t="str">
        <x:v>14590020</x:v>
      </x:c>
      <x:c r="K119" s="13" t="str">
        <x:v>[Cox?], [do?] you need me to take that lockout?</x:v>
      </x:c>
      <x:c r="L119" s="13" t="str">
        <x:v>I'm almost there. Thank you.</x:v>
      </x:c>
      <x:c r="M119" s="13" t="str">
        <x:v>Transcript association</x:v>
      </x:c>
      <x:c r="N119" s="13" t="str"/>
      <x:c r="O119" s="18" t="str">
        <x:v>Not reviewed</x:v>
      </x:c>
      <x:c r="P119" s="19" t="str">
        <x:v>https://afpd-accountability.com/records/openmhz/openmhz-afpd-car-to-car-2026-09-16/dcfems-6001-1789617280.m4a</x:v>
      </x:c>
      <x:c r="Q119" s="19" t="str">
        <x:v>https://afpd-accountability.com/records/openmhz/openmhz-afpd-car-to-car-2026-09-16/dcfems-6001-1789617287.m4a</x:v>
      </x:c>
      <x:c r="R119" s="19" t="str">
        <x:v>https://afpd-accountability.com/police-radio/?date=2026-09-16</x:v>
      </x:c>
      <x:c r="S119" s="13" t="n">
        <x:v>7</x:v>
      </x:c>
    </x:row>
    <x:row r="120" ht="60" customHeight="1">
      <x:c r="A120" s="13" t="str">
        <x:v>E113</x:v>
      </x:c>
      <x:c r="B120" s="13" t="str">
        <x:v>Jake</x:v>
      </x:c>
      <x:c r="C120" s="14" t="n">
        <x:v>46282</x:v>
      </x:c>
      <x:c r="D120" s="13" t="n">
        <x:v>27</x:v>
      </x:c>
      <x:c r="E120" s="15" t="n">
        <x:v>0.3153240740740741</x:v>
      </x:c>
      <x:c r="F120" s="16" t="str">
        <x:v>14590105</x:v>
      </x:c>
      <x:c r="G120" s="13" t="n">
        <x:v>28</x:v>
      </x:c>
      <x:c r="H120" s="15" t="n">
        <x:v>0.31539351851851855</x:v>
      </x:c>
      <x:c r="I120" s="17" t="n">
        <x:f>ROUND((H120-E120)*86400,0)</x:f>
        <x:v>6</x:v>
      </x:c>
      <x:c r="J120" s="16" t="str">
        <x:v>14590118</x:v>
      </x:c>
      <x:c r="K120" s="13" t="str">
        <x:v>[Jake?], I'm going to be set up down by 1100 South.</x:v>
      </x:c>
      <x:c r="L120" s="13" t="str">
        <x:v>Copy, I am on 700 South right now. I'm just going to park [this?] on this road and then get out on foot and keep an eye out.</x:v>
      </x:c>
      <x:c r="M120" s="13" t="str">
        <x:v>Transcript association</x:v>
      </x:c>
      <x:c r="N120" s="13" t="str">
        <x:v>More than one officer on the roster uses Jake or Jacob. These rows preserve the spoken first name only.</x:v>
      </x:c>
      <x:c r="O120" s="18" t="str">
        <x:v>Not reviewed</x:v>
      </x:c>
      <x:c r="P120" s="19" t="str">
        <x:v>https://afpd-accountability.com/records/openmhz/openmhz-afpd-car-to-car-2026-09-17/dcfems-6001-1789652044.m4a</x:v>
      </x:c>
      <x:c r="Q120" s="19" t="str">
        <x:v>https://afpd-accountability.com/records/openmhz/openmhz-afpd-car-to-car-2026-09-17/dcfems-6001-1789652050.m4a</x:v>
      </x:c>
      <x:c r="R120" s="19" t="str">
        <x:v>https://afpd-accountability.com/police-radio/?date=2026-09-17</x:v>
      </x:c>
      <x:c r="S120" s="13" t="n">
        <x:v>6</x:v>
      </x:c>
    </x:row>
    <x:row r="121" ht="60" customHeight="1">
      <x:c r="A121" s="13" t="str">
        <x:v>E114</x:v>
      </x:c>
      <x:c r="B121" s="13" t="str">
        <x:v>Richardson / Cole</x:v>
      </x:c>
      <x:c r="C121" s="14" t="n">
        <x:v>46282</x:v>
      </x:c>
      <x:c r="D121" s="13" t="n">
        <x:v>31</x:v>
      </x:c>
      <x:c r="E121" s="15" t="n">
        <x:v>0.3175115740740741</x:v>
      </x:c>
      <x:c r="F121" s="16" t="str">
        <x:v>14590025</x:v>
      </x:c>
      <x:c r="G121" s="13" t="n">
        <x:v>32</x:v>
      </x:c>
      <x:c r="H121" s="15" t="n">
        <x:v>0.31756944444444446</x:v>
      </x:c>
      <x:c r="I121" s="17" t="n">
        <x:f>ROUND((H121-E121)*86400,0)</x:f>
        <x:v>5</x:v>
      </x:c>
      <x:c r="J121" s="16" t="str">
        <x:v>14590123</x:v>
      </x:c>
      <x:c r="K121" s="13" t="str">
        <x:v>Where you at, [Cole?]?</x:v>
      </x:c>
      <x:c r="L121" s="13" t="str">
        <x:v>[Unclear opening] in front of the [row / railroad] of Amazon vans, so I'm probably like [300?] [unclear ending].</x:v>
      </x:c>
      <x:c r="M121" s="13" t="str">
        <x:v>Transcript association</x:v>
      </x:c>
      <x:c r="N121" s="13" t="str"/>
      <x:c r="O121" s="18" t="str">
        <x:v>Not reviewed</x:v>
      </x:c>
      <x:c r="P121" s="19" t="str">
        <x:v>https://afpd-accountability.com/records/openmhz/openmhz-afpd-car-to-car-2026-09-17/dcfems-6001-1789652233.m4a</x:v>
      </x:c>
      <x:c r="Q121" s="19" t="str">
        <x:v>https://afpd-accountability.com/records/openmhz/openmhz-afpd-car-to-car-2026-09-17/dcfems-6001-1789652238.m4a</x:v>
      </x:c>
      <x:c r="R121" s="19" t="str">
        <x:v>https://afpd-accountability.com/police-radio/?date=2026-09-17</x:v>
      </x:c>
      <x:c r="S121" s="13" t="n">
        <x:v>5</x:v>
      </x:c>
    </x:row>
    <x:row r="122" ht="60" customHeight="1">
      <x:c r="A122" s="13" t="str">
        <x:v>E115</x:v>
      </x:c>
      <x:c r="B122" s="13" t="str">
        <x:v>Jake</x:v>
      </x:c>
      <x:c r="C122" s="14" t="n">
        <x:v>46282</x:v>
      </x:c>
      <x:c r="D122" s="13" t="n">
        <x:v>48</x:v>
      </x:c>
      <x:c r="E122" s="15" t="n">
        <x:v>0.334212962962963</x:v>
      </x:c>
      <x:c r="F122" s="16" t="str">
        <x:v>14590105</x:v>
      </x:c>
      <x:c r="G122" s="13" t="n">
        <x:v>49</x:v>
      </x:c>
      <x:c r="H122" s="15" t="n">
        <x:v>0.33436342592592594</x:v>
      </x:c>
      <x:c r="I122" s="17" t="n">
        <x:f>ROUND((H122-E122)*86400,0)</x:f>
        <x:v>13</x:v>
      </x:c>
      <x:c r="J122" s="16" t="str">
        <x:v>14590025</x:v>
      </x:c>
      <x:c r="K122" s="13" t="str">
        <x:v>Hey, [Jake?], we are experiencing transmission problems. We are going to limp our car back to the PD, so let me know if you get [him / them]. [Unclear ending; possibly referring to another vehicle.]</x:v>
      </x:c>
      <x:c r="L122" s="13" t="str">
        <x:v>Copy.</x:v>
      </x:c>
      <x:c r="M122" s="13" t="str">
        <x:v>Transcript association</x:v>
      </x:c>
      <x:c r="N122" s="13" t="str">
        <x:v>More than one officer on the roster uses Jake or Jacob. These rows preserve the spoken first name only.</x:v>
      </x:c>
      <x:c r="O122" s="18" t="str">
        <x:v>Not reviewed</x:v>
      </x:c>
      <x:c r="P122" s="19" t="str">
        <x:v>https://afpd-accountability.com/records/openmhz/openmhz-afpd-car-to-car-2026-09-17/dcfems-6001-1789653676.m4a</x:v>
      </x:c>
      <x:c r="Q122" s="19" t="str">
        <x:v>https://afpd-accountability.com/records/openmhz/openmhz-afpd-car-to-car-2026-09-17/dcfems-6001-1789653689.m4a</x:v>
      </x:c>
      <x:c r="R122" s="19" t="str">
        <x:v>https://afpd-accountability.com/police-radio/?date=2026-09-17</x:v>
      </x:c>
      <x:c r="S122" s="13" t="n">
        <x:v>13</x:v>
      </x:c>
    </x:row>
    <x:row r="123" ht="60" customHeight="1">
      <x:c r="A123" s="13" t="str">
        <x:v>E116</x:v>
      </x:c>
      <x:c r="B123" s="13" t="str">
        <x:v>Mason</x:v>
      </x:c>
      <x:c r="C123" s="14" t="n">
        <x:v>46282</x:v>
      </x:c>
      <x:c r="D123" s="13" t="n">
        <x:v>95</x:v>
      </x:c>
      <x:c r="E123" s="15" t="n">
        <x:v>0.40186342592592594</x:v>
      </x:c>
      <x:c r="F123" s="16" t="str">
        <x:v>14590087</x:v>
      </x:c>
      <x:c r="G123" s="13" t="n">
        <x:v>96</x:v>
      </x:c>
      <x:c r="H123" s="15" t="n">
        <x:v>0.40196759259259257</x:v>
      </x:c>
      <x:c r="I123" s="17" t="n">
        <x:f>ROUND((H123-E123)*86400,0)</x:f>
        <x:v>9</x:v>
      </x:c>
      <x:c r="J123" s="16" t="str">
        <x:v>14590237</x:v>
      </x:c>
      <x:c r="K123" s="13" t="str">
        <x:v>Hey, [Mason?].</x:v>
      </x:c>
      <x:c r="L123" s="13" t="str">
        <x:v>What's up?</x:v>
      </x:c>
      <x:c r="M123" s="13" t="str">
        <x:v>Transcript association</x:v>
      </x:c>
      <x:c r="N123" s="13" t="str"/>
      <x:c r="O123" s="18" t="str">
        <x:v>Not reviewed</x:v>
      </x:c>
      <x:c r="P123" s="19" t="str">
        <x:v>https://afpd-accountability.com/records/openmhz/openmhz-afpd-car-to-car-2026-09-17/dcfems-6001-1789659521.m4a</x:v>
      </x:c>
      <x:c r="Q123" s="19" t="str">
        <x:v>https://afpd-accountability.com/records/openmhz/openmhz-afpd-car-to-car-2026-09-17/dcfems-6001-1789659530.m4a</x:v>
      </x:c>
      <x:c r="R123" s="19" t="str">
        <x:v>https://afpd-accountability.com/police-radio/?date=2026-09-17</x:v>
      </x:c>
      <x:c r="S123" s="13" t="n">
        <x:v>9</x:v>
      </x:c>
    </x:row>
    <x:row r="124" ht="60" customHeight="1">
      <x:c r="A124" s="13" t="str">
        <x:v>E117</x:v>
      </x:c>
      <x:c r="B124" s="13" t="str">
        <x:v>Makai / Kelepi</x:v>
      </x:c>
      <x:c r="C124" s="14" t="n">
        <x:v>46282</x:v>
      </x:c>
      <x:c r="D124" s="13" t="n">
        <x:v>185</x:v>
      </x:c>
      <x:c r="E124" s="15" t="n">
        <x:v>0.6416203703703703</x:v>
      </x:c>
      <x:c r="F124" s="16" t="str">
        <x:v>14590087</x:v>
      </x:c>
      <x:c r="G124" s="13" t="n">
        <x:v>186</x:v>
      </x:c>
      <x:c r="H124" s="15" t="n">
        <x:v>0.6416898148148148</x:v>
      </x:c>
      <x:c r="I124" s="17" t="n">
        <x:f>ROUND((H124-E124)*86400,0)</x:f>
        <x:v>6</x:v>
      </x:c>
      <x:c r="J124" s="16" t="str">
        <x:v>14590247</x:v>
      </x:c>
      <x:c r="K124" s="13" t="str">
        <x:v>Hey, Makai?</x:v>
      </x:c>
      <x:c r="L124" s="13" t="str">
        <x:v>What's up?</x:v>
      </x:c>
      <x:c r="M124" s="13" t="str">
        <x:v>Transcript association</x:v>
      </x:c>
      <x:c r="N124" s="13" t="str">
        <x:v>Owner corrected Makai and both replies on October 23. Clip 187: I'm sorry, 10-9, my radio cut out. No independent audio review.</x:v>
      </x:c>
      <x:c r="O124" s="18" t="str">
        <x:v>Not reviewed</x:v>
      </x:c>
      <x:c r="P124" s="19" t="str">
        <x:v>https://afpd-accountability.com/records/openmhz/openmhz-afpd-car-to-car-2026-09-17/dcfems-6001-1789680236.m4a</x:v>
      </x:c>
      <x:c r="Q124" s="19" t="str">
        <x:v>https://afpd-accountability.com/records/openmhz/openmhz-afpd-car-to-car-2026-09-17/dcfems-6001-1789680242.m4a</x:v>
      </x:c>
      <x:c r="R124" s="19" t="str">
        <x:v>https://afpd-accountability.com/police-radio/?date=2026-09-17</x:v>
      </x:c>
      <x:c r="S124" s="13" t="n">
        <x:v>6</x:v>
      </x:c>
    </x:row>
    <x:row r="125" ht="60" customHeight="1">
      <x:c r="A125" s="13" t="str">
        <x:v>E118</x:v>
      </x:c>
      <x:c r="B125" s="13" t="str">
        <x:v>Jensen / Josh</x:v>
      </x:c>
      <x:c r="C125" s="14" t="n">
        <x:v>46282</x:v>
      </x:c>
      <x:c r="D125" s="13" t="n">
        <x:v>200</x:v>
      </x:c>
      <x:c r="E125" s="15" t="n">
        <x:v>0.689375</x:v>
      </x:c>
      <x:c r="F125" s="16" t="str">
        <x:v>14590044</x:v>
      </x:c>
      <x:c r="G125" s="13" t="n">
        <x:v>201</x:v>
      </x:c>
      <x:c r="H125" s="15" t="n">
        <x:v>0.6894097222222222</x:v>
      </x:c>
      <x:c r="I125" s="17" t="n">
        <x:f>ROUND((H125-E125)*86400,0)</x:f>
        <x:v>3</x:v>
      </x:c>
      <x:c r="J125" s="16" t="str">
        <x:v>14590088</x:v>
      </x:c>
      <x:c r="K125" s="13" t="str">
        <x:v>[Jensen?], you on here?</x:v>
      </x:c>
      <x:c r="L125" s="13" t="str">
        <x:v>[Huh? / unclear].</x:v>
      </x:c>
      <x:c r="M125" s="13" t="str">
        <x:v>Transcript association</x:v>
      </x:c>
      <x:c r="N125" s="13" t="str">
        <x:v>Both Jensen and Josh are represented; Joshua Jensen is a candidate. First-name replies alone do not rule out other Joshuas.</x:v>
      </x:c>
      <x:c r="O125" s="18" t="str">
        <x:v>Not reviewed</x:v>
      </x:c>
      <x:c r="P125" s="19" t="str">
        <x:v>https://afpd-accountability.com/records/openmhz/openmhz-afpd-car-to-car-2026-09-17/dcfems-6001-1789684362.m4a</x:v>
      </x:c>
      <x:c r="Q125" s="19" t="str">
        <x:v>https://afpd-accountability.com/records/openmhz/openmhz-afpd-car-to-car-2026-09-17/dcfems-6001-1789684365.m4a</x:v>
      </x:c>
      <x:c r="R125" s="19" t="str">
        <x:v>https://afpd-accountability.com/police-radio/?date=2026-09-17</x:v>
      </x:c>
      <x:c r="S125" s="13" t="n">
        <x:v>3</x:v>
      </x:c>
    </x:row>
    <x:row r="126" ht="60" customHeight="1">
      <x:c r="A126" s="13" t="str">
        <x:v>E119</x:v>
      </x:c>
      <x:c r="B126" s="13" t="str">
        <x:v>Hawkins</x:v>
      </x:c>
      <x:c r="C126" s="14" t="n">
        <x:v>46282</x:v>
      </x:c>
      <x:c r="D126" s="13" t="n">
        <x:v>221</x:v>
      </x:c>
      <x:c r="E126" s="15" t="n">
        <x:v>0.739525462962963</x:v>
      </x:c>
      <x:c r="F126" s="16" t="str">
        <x:v>14590207</x:v>
      </x:c>
      <x:c r="G126" s="13" t="n">
        <x:v>222</x:v>
      </x:c>
      <x:c r="H126" s="15" t="n">
        <x:v>0.7395601851851852</x:v>
      </x:c>
      <x:c r="I126" s="17" t="n">
        <x:f>ROUND((H126-E126)*86400,0)</x:f>
        <x:v>3</x:v>
      </x:c>
      <x:c r="J126" s="16" t="str">
        <x:v>14590107</x:v>
      </x:c>
      <x:c r="K126" s="13" t="str">
        <x:v>[Hawkins?], I bet that's your guy from the other night.</x:v>
      </x:c>
      <x:c r="L126" s="13" t="str">
        <x:v>Yeah, I think so. [Rinser?], just [hold it / hold out]. I'll take it when I'm done here.</x:v>
      </x:c>
      <x:c r="M126" s="13" t="str">
        <x:v>Transcript association</x:v>
      </x:c>
      <x:c r="N126" s="13" t="str"/>
      <x:c r="O126" s="18" t="str">
        <x:v>Not reviewed</x:v>
      </x:c>
      <x:c r="P126" s="19" t="str">
        <x:v>https://afpd-accountability.com/records/openmhz/openmhz-afpd-car-to-car-2026-09-17/dcfems-6001-1789688695.m4a</x:v>
      </x:c>
      <x:c r="Q126" s="19" t="str">
        <x:v>https://afpd-accountability.com/records/openmhz/openmhz-afpd-car-to-car-2026-09-17/dcfems-6001-1789688698.m4a</x:v>
      </x:c>
      <x:c r="R126" s="19" t="str">
        <x:v>https://afpd-accountability.com/police-radio/?date=2026-09-17</x:v>
      </x:c>
      <x:c r="S126" s="13" t="n">
        <x:v>3</x:v>
      </x:c>
    </x:row>
    <x:row r="127" ht="60" customHeight="1">
      <x:c r="A127" s="13" t="str">
        <x:v>E120</x:v>
      </x:c>
      <x:c r="B127" s="13" t="str">
        <x:v>Renter</x:v>
      </x:c>
      <x:c r="C127" s="14" t="n">
        <x:v>46282</x:v>
      </x:c>
      <x:c r="D127" s="13" t="n">
        <x:v>222</x:v>
      </x:c>
      <x:c r="E127" s="15" t="n">
        <x:v>0.7395601851851852</x:v>
      </x:c>
      <x:c r="F127" s="16" t="str">
        <x:v>14590107</x:v>
      </x:c>
      <x:c r="G127" s="13" t="n">
        <x:v>223</x:v>
      </x:c>
      <x:c r="H127" s="15" t="n">
        <x:v>0.7396412037037037</x:v>
      </x:c>
      <x:c r="I127" s="17" t="n">
        <x:f>ROUND((H127-E127)*86400,0)</x:f>
        <x:v>7</x:v>
      </x:c>
      <x:c r="J127" s="16" t="str">
        <x:v>14590087</x:v>
      </x:c>
      <x:c r="K127" s="13" t="str">
        <x:v>Yeah, I think so. [Rinser?], just [hold it / hold out]. I'll take it when I'm done here.</x:v>
      </x:c>
      <x:c r="L127" s="13" t="str">
        <x:v>Copy.</x:v>
      </x:c>
      <x:c r="M127" s="13" t="str">
        <x:v>Transcript association</x:v>
      </x:c>
      <x:c r="N127" s="13" t="str"/>
      <x:c r="O127" s="18" t="str">
        <x:v>Not reviewed</x:v>
      </x:c>
      <x:c r="P127" s="19" t="str">
        <x:v>https://afpd-accountability.com/records/openmhz/openmhz-afpd-car-to-car-2026-09-17/dcfems-6001-1789688698.m4a</x:v>
      </x:c>
      <x:c r="Q127" s="19" t="str">
        <x:v>https://afpd-accountability.com/records/openmhz/openmhz-afpd-car-to-car-2026-09-17/dcfems-6001-1789688705.m4a</x:v>
      </x:c>
      <x:c r="R127" s="19" t="str">
        <x:v>https://afpd-accountability.com/police-radio/?date=2026-09-17</x:v>
      </x:c>
      <x:c r="S127" s="13" t="n">
        <x:v>7</x:v>
      </x:c>
    </x:row>
    <x:row r="128" ht="60" customHeight="1">
      <x:c r="A128" s="13" t="str">
        <x:v>E121</x:v>
      </x:c>
      <x:c r="B128" s="13" t="str">
        <x:v>Renter</x:v>
      </x:c>
      <x:c r="C128" s="14" t="n">
        <x:v>46282</x:v>
      </x:c>
      <x:c r="D128" s="13" t="n">
        <x:v>236</x:v>
      </x:c>
      <x:c r="E128" s="15" t="n">
        <x:v>0.7468865740740741</x:v>
      </x:c>
      <x:c r="F128" s="16" t="str">
        <x:v>14590107</x:v>
      </x:c>
      <x:c r="G128" s="13" t="n">
        <x:v>237</x:v>
      </x:c>
      <x:c r="H128" s="15" t="n">
        <x:v>0.7469328703703704</x:v>
      </x:c>
      <x:c r="I128" s="17" t="n">
        <x:f>ROUND((H128-E128)*86400,0)</x:f>
        <x:v>4</x:v>
      </x:c>
      <x:c r="J128" s="16" t="str">
        <x:v>14590087</x:v>
      </x:c>
      <x:c r="K128" s="13" t="str">
        <x:v>What was that, [Rancher?]?</x:v>
      </x:c>
      <x:c r="L128" s="13" t="str">
        <x:v>[Do / if] you want to back on [the / this] suspicious, are you going to sit on [it / that] for a second?</x:v>
      </x:c>
      <x:c r="M128" s="13" t="str">
        <x:v>Transcript association</x:v>
      </x:c>
      <x:c r="N128" s="13" t="str"/>
      <x:c r="O128" s="18" t="str">
        <x:v>Not reviewed</x:v>
      </x:c>
      <x:c r="P128" s="19" t="str">
        <x:v>https://afpd-accountability.com/records/openmhz/openmhz-afpd-car-to-car-2026-09-17/dcfems-6001-1789689331.m4a</x:v>
      </x:c>
      <x:c r="Q128" s="19" t="str">
        <x:v>https://afpd-accountability.com/records/openmhz/openmhz-afpd-car-to-car-2026-09-17/dcfems-6001-1789689335.m4a</x:v>
      </x:c>
      <x:c r="R128" s="19" t="str">
        <x:v>https://afpd-accountability.com/police-radio/?date=2026-09-17</x:v>
      </x:c>
      <x:c r="S128" s="13" t="n">
        <x:v>4</x:v>
      </x:c>
    </x:row>
    <x:row r="129" ht="60" customHeight="1">
      <x:c r="A129" s="13" t="str">
        <x:v>E122</x:v>
      </x:c>
      <x:c r="B129" s="13" t="str">
        <x:v>Mitch</x:v>
      </x:c>
      <x:c r="C129" s="14" t="n">
        <x:v>46282</x:v>
      </x:c>
      <x:c r="D129" s="13" t="n">
        <x:v>342</x:v>
      </x:c>
      <x:c r="E129" s="15" t="n">
        <x:v>0.8430555555555556</x:v>
      </x:c>
      <x:c r="F129" s="16" t="str">
        <x:v>14590313</x:v>
      </x:c>
      <x:c r="G129" s="13" t="n">
        <x:v>343</x:v>
      </x:c>
      <x:c r="H129" s="15" t="n">
        <x:v>0.843136574074074</x:v>
      </x:c>
      <x:c r="I129" s="17" t="n">
        <x:f>ROUND((H129-E129)*86400,0)</x:f>
        <x:v>7</x:v>
      </x:c>
      <x:c r="J129" s="16" t="str">
        <x:v>14590344</x:v>
      </x:c>
      <x:c r="K129" s="13" t="str">
        <x:v>Hey, [Mitch?], you good over there?</x:v>
      </x:c>
      <x:c r="L129" s="13" t="str">
        <x:v>Yeah, I was just waiting for [a tow / her to tell].</x:v>
      </x:c>
      <x:c r="M129" s="13" t="str">
        <x:v>Transcript association</x:v>
      </x:c>
      <x:c r="N129" s="13" t="str">
        <x:v>14590036 also answers Hawkins. Keep 14590344 separate from 14590036 pending audio and assignment confirmation.</x:v>
      </x:c>
      <x:c r="O129" s="18" t="str">
        <x:v>Not reviewed</x:v>
      </x:c>
      <x:c r="P129" s="19" t="str">
        <x:v>https://afpd-accountability.com/records/openmhz/openmhz-afpd-car-to-car-2026-09-17/dcfems-6001-1789697640.m4a</x:v>
      </x:c>
      <x:c r="Q129" s="19" t="str">
        <x:v>https://afpd-accountability.com/records/openmhz/openmhz-afpd-car-to-car-2026-09-17/dcfems-6001-1789697647.m4a</x:v>
      </x:c>
      <x:c r="R129" s="19" t="str">
        <x:v>https://afpd-accountability.com/police-radio/?date=2026-09-17</x:v>
      </x:c>
      <x:c r="S129" s="13" t="n">
        <x:v>7</x:v>
      </x:c>
    </x:row>
    <x:row r="130" ht="60" customHeight="1">
      <x:c r="A130" s="13" t="str">
        <x:v>E123</x:v>
      </x:c>
      <x:c r="B130" s="13" t="str">
        <x:v>Greg</x:v>
      </x:c>
      <x:c r="C130" s="14" t="n">
        <x:v>46282</x:v>
      </x:c>
      <x:c r="D130" s="13" t="n">
        <x:v>389</x:v>
      </x:c>
      <x:c r="E130" s="15" t="n">
        <x:v>0.8651967592592592</x:v>
      </x:c>
      <x:c r="F130" s="16" t="str">
        <x:v>14590091</x:v>
      </x:c>
      <x:c r="G130" s="13" t="n">
        <x:v>390</x:v>
      </x:c>
      <x:c r="H130" s="15" t="n">
        <x:v>0.8652546296296296</x:v>
      </x:c>
      <x:c r="I130" s="17" t="n">
        <x:f>ROUND((H130-E130)*86400,0)</x:f>
        <x:v>5</x:v>
      </x:c>
      <x:c r="J130" s="16" t="str">
        <x:v>14590098</x:v>
      </x:c>
      <x:c r="K130" s="13" t="str">
        <x:v>[Greg?], did you copy that? He's back at the [house / helm].</x:v>
      </x:c>
      <x:c r="L130" s="13" t="str">
        <x:v>[Oh no, I didn't / I don't know why I did]. Awesome.</x:v>
      </x:c>
      <x:c r="M130" s="13" t="str">
        <x:v>Transcript association</x:v>
      </x:c>
      <x:c r="N130" s="13" t="str"/>
      <x:c r="O130" s="18" t="str">
        <x:v>Not reviewed</x:v>
      </x:c>
      <x:c r="P130" s="19" t="str">
        <x:v>https://afpd-accountability.com/records/openmhz/openmhz-afpd-car-to-car-2026-09-17/dcfems-6001-1789699553.m4a</x:v>
      </x:c>
      <x:c r="Q130" s="19" t="str">
        <x:v>https://afpd-accountability.com/records/openmhz/openmhz-afpd-car-to-car-2026-09-17/dcfems-6001-1789699558.m4a</x:v>
      </x:c>
      <x:c r="R130" s="19" t="str">
        <x:v>https://afpd-accountability.com/police-radio/?date=2026-09-17</x:v>
      </x:c>
      <x:c r="S130" s="13" t="n">
        <x:v>5</x:v>
      </x:c>
    </x:row>
    <x:row r="131" ht="60" customHeight="1">
      <x:c r="A131" s="13" t="str">
        <x:v>E124</x:v>
      </x:c>
      <x:c r="B131" s="13" t="str">
        <x:v>Mitch</x:v>
      </x:c>
      <x:c r="C131" s="14" t="n">
        <x:v>46282</x:v>
      </x:c>
      <x:c r="D131" s="13" t="n">
        <x:v>408</x:v>
      </x:c>
      <x:c r="E131" s="15" t="n">
        <x:v>0.906886574074074</x:v>
      </x:c>
      <x:c r="F131" s="16" t="str">
        <x:v>14590072</x:v>
      </x:c>
      <x:c r="G131" s="13" t="n">
        <x:v>409</x:v>
      </x:c>
      <x:c r="H131" s="15" t="n">
        <x:v>0.9070370370370371</x:v>
      </x:c>
      <x:c r="I131" s="17" t="n">
        <x:f>ROUND((H131-E131)*86400,0)</x:f>
        <x:v>13</x:v>
      </x:c>
      <x:c r="J131" s="16" t="str">
        <x:v>14590344</x:v>
      </x:c>
      <x:c r="K131" s="13" t="str">
        <x:v>Sorry, [Mitch?]. I thought this was [going to / gonna] be something. They [failed to yield?] and then smashed the [curb / curve] when pulling over, so. [But?] it's just like a 16-year-old girl. [All's good?].</x:v>
      </x:c>
      <x:c r="L131" s="13" t="str">
        <x:v>Yeah, no worries. My battery started tripping, so I'll just go change that out.</x:v>
      </x:c>
      <x:c r="M131" s="13" t="str">
        <x:v>Transcript association</x:v>
      </x:c>
      <x:c r="N131" s="13" t="str">
        <x:v>14590036 also answers Hawkins. Keep 14590344 separate from 14590036 pending audio and assignment confirmation.</x:v>
      </x:c>
      <x:c r="O131" s="18" t="str">
        <x:v>Not reviewed</x:v>
      </x:c>
      <x:c r="P131" s="19" t="str">
        <x:v>https://afpd-accountability.com/records/openmhz/openmhz-afpd-car-to-car-2026-09-17/dcfems-6001-1789703155.m4a</x:v>
      </x:c>
      <x:c r="Q131" s="19" t="str">
        <x:v>https://afpd-accountability.com/records/openmhz/openmhz-afpd-car-to-car-2026-09-17/dcfems-6001-1789703168.m4a</x:v>
      </x:c>
      <x:c r="R131" s="19" t="str">
        <x:v>https://afpd-accountability.com/police-radio/?date=2026-09-17</x:v>
      </x:c>
      <x:c r="S131" s="13" t="n">
        <x:v>13</x:v>
      </x:c>
    </x:row>
    <x:row r="132" ht="60" customHeight="1">
      <x:c r="A132" s="13" t="str">
        <x:v>E125</x:v>
      </x:c>
      <x:c r="B132" s="13" t="str">
        <x:v>Hawkins</x:v>
      </x:c>
      <x:c r="C132" s="14" t="n">
        <x:v>46282</x:v>
      </x:c>
      <x:c r="D132" s="13" t="n">
        <x:v>419</x:v>
      </x:c>
      <x:c r="E132" s="15" t="n">
        <x:v>0.9922685185185185</x:v>
      </x:c>
      <x:c r="F132" s="16" t="str">
        <x:v>14590026</x:v>
      </x:c>
      <x:c r="G132" s="13" t="n">
        <x:v>420</x:v>
      </x:c>
      <x:c r="H132" s="15" t="n">
        <x:v>0.9923148148148148</x:v>
      </x:c>
      <x:c r="I132" s="17" t="n">
        <x:f>ROUND((H132-E132)*86400,0)</x:f>
        <x:v>4</x:v>
      </x:c>
      <x:c r="J132" s="16" t="str">
        <x:v>14590107</x:v>
      </x:c>
      <x:c r="K132" s="13" t="str">
        <x:v>Hawkins, where are we going to eat?</x:v>
      </x:c>
      <x:c r="L132" s="13" t="str">
        <x:v>I'm open to ideas. What were you thinking?</x:v>
      </x:c>
      <x:c r="M132" s="13" t="str">
        <x:v>Transcript association</x:v>
      </x:c>
      <x:c r="N132" s="13" t="str"/>
      <x:c r="O132" s="18" t="str">
        <x:v>Not reviewed</x:v>
      </x:c>
      <x:c r="P132" s="19" t="str">
        <x:v>https://afpd-accountability.com/records/openmhz/openmhz-afpd-car-to-car-2026-09-17/dcfems-6001-1789710532.m4a</x:v>
      </x:c>
      <x:c r="Q132" s="19" t="str">
        <x:v>https://afpd-accountability.com/records/openmhz/openmhz-afpd-car-to-car-2026-09-17/dcfems-6001-1789710536.m4a</x:v>
      </x:c>
      <x:c r="R132" s="19" t="str">
        <x:v>https://afpd-accountability.com/police-radio/?date=2026-09-17</x:v>
      </x:c>
      <x:c r="S132" s="13" t="n">
        <x:v>4</x:v>
      </x:c>
    </x:row>
    <x:row r="133" ht="60" customHeight="1">
      <x:c r="A133" s="13" t="str">
        <x:v>E126</x:v>
      </x:c>
      <x:c r="B133" s="13" t="str">
        <x:v>McKay</x:v>
      </x:c>
      <x:c r="C133" s="14" t="n">
        <x:v>46283</x:v>
      </x:c>
      <x:c r="D133" s="13" t="n">
        <x:v>208</x:v>
      </x:c>
      <x:c r="E133" s="15" t="n">
        <x:v>0.6940972222222223</x:v>
      </x:c>
      <x:c r="F133" s="16" t="str">
        <x:v>14590027</x:v>
      </x:c>
      <x:c r="G133" s="13" t="n">
        <x:v>209</x:v>
      </x:c>
      <x:c r="H133" s="15" t="n">
        <x:v>0.6941550925925926</x:v>
      </x:c>
      <x:c r="I133" s="17" t="n">
        <x:f>ROUND((H133-E133)*86400,0)</x:f>
        <x:v>5</x:v>
      </x:c>
      <x:c r="J133" s="16" t="str">
        <x:v>14590102</x:v>
      </x:c>
      <x:c r="K133" s="13" t="str">
        <x:v>Hey [McKay?], [how are you?].</x:v>
      </x:c>
      <x:c r="L133" s="13" t="str">
        <x:v>[500 today?]</x:v>
      </x:c>
      <x:c r="M133" s="13" t="str">
        <x:v>Transcript association</x:v>
      </x:c>
      <x:c r="N133" s="13" t="str"/>
      <x:c r="O133" s="18" t="str">
        <x:v>Not reviewed</x:v>
      </x:c>
      <x:c r="P133" s="19" t="str">
        <x:v>https://afpd-accountability.com/records/openmhz/openmhz-afpd-car-to-car-2026-09-18/dcfems-6001-1789771170.m4a</x:v>
      </x:c>
      <x:c r="Q133" s="19" t="str">
        <x:v>https://afpd-accountability.com/records/openmhz/openmhz-afpd-car-to-car-2026-09-18/dcfems-6001-1789771175.m4a</x:v>
      </x:c>
      <x:c r="R133" s="19" t="str">
        <x:v>https://afpd-accountability.com/police-radio/?date=2026-09-18</x:v>
      </x:c>
      <x:c r="S133" s="13" t="n">
        <x:v>5</x:v>
      </x:c>
    </x:row>
    <x:row r="134" ht="60" customHeight="1">
      <x:c r="A134" s="13" t="str">
        <x:v>E127</x:v>
      </x:c>
      <x:c r="B134" s="13" t="str">
        <x:v>McClellan / Dennis</x:v>
      </x:c>
      <x:c r="C134" s="14" t="n">
        <x:v>46283</x:v>
      </x:c>
      <x:c r="D134" s="13" t="n">
        <x:v>210</x:v>
      </x:c>
      <x:c r="E134" s="15" t="n">
        <x:v>0.7002430555555555</x:v>
      </x:c>
      <x:c r="F134" s="16" t="str">
        <x:v>14590100</x:v>
      </x:c>
      <x:c r="G134" s="13" t="n">
        <x:v>211</x:v>
      </x:c>
      <x:c r="H134" s="15" t="n">
        <x:v>0.7003703703703704</x:v>
      </x:c>
      <x:c r="I134" s="17" t="n">
        <x:f>ROUND((H134-E134)*86400,0)</x:f>
        <x:v>11</x:v>
      </x:c>
      <x:c r="J134" s="16" t="str">
        <x:v>14590162</x:v>
      </x:c>
      <x:c r="K134" s="13" t="str">
        <x:v>[McClellan?], I can take that if you’d like.</x:v>
      </x:c>
      <x:c r="L134" s="13" t="str">
        <x:v>No worries, I got it.</x:v>
      </x:c>
      <x:c r="M134" s="13" t="str">
        <x:v>Transcript association</x:v>
      </x:c>
      <x:c r="N134" s="13" t="str"/>
      <x:c r="O134" s="18" t="str">
        <x:v>Not reviewed</x:v>
      </x:c>
      <x:c r="P134" s="19" t="str">
        <x:v>https://afpd-accountability.com/records/openmhz/openmhz-afpd-car-to-car-2026-09-18/dcfems-6001-1789771701.m4a</x:v>
      </x:c>
      <x:c r="Q134" s="19" t="str">
        <x:v>https://afpd-accountability.com/records/openmhz/openmhz-afpd-car-to-car-2026-09-18/dcfems-6001-1789771712.m4a</x:v>
      </x:c>
      <x:c r="R134" s="19" t="str">
        <x:v>https://afpd-accountability.com/police-radio/?date=2026-09-18</x:v>
      </x:c>
      <x:c r="S134" s="13" t="n">
        <x:v>11</x:v>
      </x:c>
    </x:row>
    <x:row r="135" ht="60" customHeight="1">
      <x:c r="A135" s="13" t="str">
        <x:v>E128</x:v>
      </x:c>
      <x:c r="B135" s="13" t="str">
        <x:v>Ron</x:v>
      </x:c>
      <x:c r="C135" s="14" t="n">
        <x:v>46283</x:v>
      </x:c>
      <x:c r="D135" s="13" t="n">
        <x:v>272</x:v>
      </x:c>
      <x:c r="E135" s="15" t="n">
        <x:v>0.843125</x:v>
      </x:c>
      <x:c r="F135" s="16" t="str">
        <x:v>14590085</x:v>
      </x:c>
      <x:c r="G135" s="13" t="n">
        <x:v>273</x:v>
      </x:c>
      <x:c r="H135" s="15" t="n">
        <x:v>0.8431944444444445</x:v>
      </x:c>
      <x:c r="I135" s="17" t="n">
        <x:f>ROUND((H135-E135)*86400,0)</x:f>
        <x:v>6</x:v>
      </x:c>
      <x:c r="J135" s="16" t="str">
        <x:v>14590095</x:v>
      </x:c>
      <x:c r="K135" s="13" t="str">
        <x:v>[Ron?], I’m assuming you’re not seeing anything.</x:v>
      </x:c>
      <x:c r="L135" s="13" t="str">
        <x:v>I'm assuming she means North County, that's 1100 East.</x:v>
      </x:c>
      <x:c r="M135" s="13" t="str">
        <x:v>Transcript association</x:v>
      </x:c>
      <x:c r="N135" s="13" t="str">
        <x:v>Ron could be a name, nickname, or a transcription of Bronson. Several distinct IDs appear; no roster identity assigned.</x:v>
      </x:c>
      <x:c r="O135" s="18" t="str">
        <x:v>Not reviewed</x:v>
      </x:c>
      <x:c r="P135" s="19" t="str">
        <x:v>https://afpd-accountability.com/records/openmhz/openmhz-afpd-car-to-car-2026-09-18/dcfems-6001-1789784046.m4a</x:v>
      </x:c>
      <x:c r="Q135" s="19" t="str">
        <x:v>https://afpd-accountability.com/records/openmhz/openmhz-afpd-car-to-car-2026-09-18/dcfems-6001-1789784052.m4a</x:v>
      </x:c>
      <x:c r="R135" s="19" t="str">
        <x:v>https://afpd-accountability.com/police-radio/?date=2026-09-18</x:v>
      </x:c>
      <x:c r="S135" s="13" t="n">
        <x:v>6</x:v>
      </x:c>
    </x:row>
    <x:row r="136" ht="60" customHeight="1">
      <x:c r="A136" s="13" t="str">
        <x:v>E129</x:v>
      </x:c>
      <x:c r="B136" s="13" t="str">
        <x:v>Wagley</x:v>
      </x:c>
      <x:c r="C136" s="14" t="n">
        <x:v>46284</x:v>
      </x:c>
      <x:c r="D136" s="13" t="n">
        <x:v>40</x:v>
      </x:c>
      <x:c r="E136" s="15" t="n">
        <x:v>0.44810185185185186</x:v>
      </x:c>
      <x:c r="F136" s="16" t="str">
        <x:v>14590027</x:v>
      </x:c>
      <x:c r="G136" s="13" t="n">
        <x:v>41</x:v>
      </x:c>
      <x:c r="H136" s="15" t="n">
        <x:v>0.4481712962962963</x:v>
      </x:c>
      <x:c r="I136" s="17" t="n">
        <x:f>ROUND((H136-E136)*86400,0)</x:f>
        <x:v>6</x:v>
      </x:c>
      <x:c r="J136" s="16" t="str">
        <x:v>14590019</x:v>
      </x:c>
      <x:c r="K136" s="13" t="str">
        <x:v>I did not bring [unclear] today, so I need [Waggly?] to decide where we’re going for lunch.</x:v>
      </x:c>
      <x:c r="L136" s="13" t="str">
        <x:v>I was [unclear] again.</x:v>
      </x:c>
      <x:c r="M136" s="13" t="str">
        <x:v>Transcript association</x:v>
      </x:c>
      <x:c r="N136" s="13" t="str"/>
      <x:c r="O136" s="18" t="str">
        <x:v>Not reviewed</x:v>
      </x:c>
      <x:c r="P136" s="19" t="str">
        <x:v>https://afpd-accountability.com/records/openmhz/openmhz-afpd-car-to-car-2026-09-19/dcfems-6001-1789836316.m4a</x:v>
      </x:c>
      <x:c r="Q136" s="19" t="str">
        <x:v>https://afpd-accountability.com/records/openmhz/openmhz-afpd-car-to-car-2026-09-19/dcfems-6001-1789836322.m4a</x:v>
      </x:c>
      <x:c r="R136" s="19" t="str">
        <x:v>https://afpd-accountability.com/police-radio/?date=2026-09-19</x:v>
      </x:c>
      <x:c r="S136" s="13" t="n">
        <x:v>6</x:v>
      </x:c>
    </x:row>
    <x:row r="137" ht="60" customHeight="1">
      <x:c r="A137" s="13" t="str">
        <x:v>E130</x:v>
      </x:c>
      <x:c r="B137" s="13" t="str">
        <x:v>Sam</x:v>
      </x:c>
      <x:c r="C137" s="14" t="n">
        <x:v>46284</x:v>
      </x:c>
      <x:c r="D137" s="13" t="n">
        <x:v>71</x:v>
      </x:c>
      <x:c r="E137" s="15" t="n">
        <x:v>0.573599537037037</x:v>
      </x:c>
      <x:c r="F137" s="16" t="str">
        <x:v>14590019</x:v>
      </x:c>
      <x:c r="G137" s="13" t="n">
        <x:v>72</x:v>
      </x:c>
      <x:c r="H137" s="15" t="n">
        <x:v>0.5736921296296297</x:v>
      </x:c>
      <x:c r="I137" s="17" t="n">
        <x:f>ROUND((H137-E137)*86400,0)</x:f>
        <x:v>8</x:v>
      </x:c>
      <x:c r="J137" s="16" t="str">
        <x:v>14590100</x:v>
      </x:c>
      <x:c r="K137" s="13" t="str">
        <x:v>Hey [Sam?], traffic died down, so I fixed two of the cones. Should be good.</x:v>
      </x:c>
      <x:c r="L137" s="13" t="str">
        <x:v>Appreciate your help. Thank you.</x:v>
      </x:c>
      <x:c r="M137" s="13" t="str">
        <x:v>Transcript association</x:v>
      </x:c>
      <x:c r="N137" s="13" t="str">
        <x:v>14590100 is associated with Halladay from the owner’s September 24 voice identification. This September 19 exchange remains unverified.</x:v>
      </x:c>
      <x:c r="O137" s="18" t="str">
        <x:v>Not reviewed</x:v>
      </x:c>
      <x:c r="P137" s="19" t="str">
        <x:v>https://afpd-accountability.com/records/openmhz/openmhz-afpd-car-to-car-2026-09-19/dcfems-6001-1789847159.m4a</x:v>
      </x:c>
      <x:c r="Q137" s="19" t="str">
        <x:v>https://afpd-accountability.com/records/openmhz/openmhz-afpd-car-to-car-2026-09-19/dcfems-6001-1789847167.m4a</x:v>
      </x:c>
      <x:c r="R137" s="19" t="str">
        <x:v>https://afpd-accountability.com/police-radio/?date=2026-09-19</x:v>
      </x:c>
      <x:c r="S137" s="13" t="n">
        <x:v>8</x:v>
      </x:c>
    </x:row>
    <x:row r="138" ht="60" customHeight="1">
      <x:c r="A138" s="13" t="str">
        <x:v>E131</x:v>
      </x:c>
      <x:c r="B138" s="13" t="str">
        <x:v>Ron</x:v>
      </x:c>
      <x:c r="C138" s="14" t="n">
        <x:v>46284</x:v>
      </x:c>
      <x:c r="D138" s="13" t="n">
        <x:v>122</x:v>
      </x:c>
      <x:c r="E138" s="15" t="n">
        <x:v>0.9181018518518519</x:v>
      </x:c>
      <x:c r="F138" s="16" t="str">
        <x:v>14590042</x:v>
      </x:c>
      <x:c r="G138" s="13" t="n">
        <x:v>123</x:v>
      </x:c>
      <x:c r="H138" s="15" t="n">
        <x:v>0.9182870370370371</x:v>
      </x:c>
      <x:c r="I138" s="17" t="n">
        <x:f>ROUND((H138-E138)*86400,0)</x:f>
        <x:v>16</x:v>
      </x:c>
      <x:c r="J138" s="16" t="str">
        <x:v>14590095</x:v>
      </x:c>
      <x:c r="K138" s="13" t="str">
        <x:v>Hey [Ron?], it sounds like there’s two more juveniles somewhere out in the parking lot that are also involved that ran away.</x:v>
      </x:c>
      <x:c r="L138" s="13" t="str">
        <x:v>Copy. [Do they have?] descriptions?</x:v>
      </x:c>
      <x:c r="M138" s="13" t="str">
        <x:v>Transcript association</x:v>
      </x:c>
      <x:c r="N138" s="13" t="str">
        <x:v>Ron could be a name, nickname, or a transcription of Bronson. Several distinct IDs appear; no roster identity assigned.</x:v>
      </x:c>
      <x:c r="O138" s="18" t="str">
        <x:v>Not reviewed</x:v>
      </x:c>
      <x:c r="P138" s="19" t="str">
        <x:v>https://afpd-accountability.com/records/openmhz/openmhz-afpd-car-to-car-2026-09-19/dcfems-6001-1789876924.m4a</x:v>
      </x:c>
      <x:c r="Q138" s="19" t="str">
        <x:v>https://afpd-accountability.com/records/openmhz/openmhz-afpd-car-to-car-2026-09-19/dcfems-6001-1789876940.m4a</x:v>
      </x:c>
      <x:c r="R138" s="19" t="str">
        <x:v>https://afpd-accountability.com/police-radio/?date=2026-09-19</x:v>
      </x:c>
      <x:c r="S138" s="13" t="n">
        <x:v>16</x:v>
      </x:c>
    </x:row>
    <x:row r="139" ht="60" customHeight="1">
      <x:c r="A139" s="13" t="str">
        <x:v>E132</x:v>
      </x:c>
      <x:c r="B139" s="13" t="str">
        <x:v>Ron</x:v>
      </x:c>
      <x:c r="C139" s="14" t="n">
        <x:v>46284</x:v>
      </x:c>
      <x:c r="D139" s="13" t="n">
        <x:v>130</x:v>
      </x:c>
      <x:c r="E139" s="15" t="n">
        <x:v>0.9192592592592592</x:v>
      </x:c>
      <x:c r="F139" s="16" t="str">
        <x:v>14590042</x:v>
      </x:c>
      <x:c r="G139" s="13" t="n">
        <x:v>131</x:v>
      </x:c>
      <x:c r="H139" s="15" t="n">
        <x:v>0.9196643518518518</x:v>
      </x:c>
      <x:c r="I139" s="17" t="n">
        <x:f>ROUND((H139-E139)*86400,0)</x:f>
        <x:v>35</x:v>
      </x:c>
      <x:c r="J139" s="16" t="str">
        <x:v>14590095</x:v>
      </x:c>
      <x:c r="K139" s="13" t="str">
        <x:v>[Ron?], it sounds like they didn’t leave the store with any products. They were involved in filling the bags, but they left the store without products.</x:v>
      </x:c>
      <x:c r="L139" s="13" t="str">
        <x:v>So should I leave it? Are they on [foot?] or did they drive?</x:v>
      </x:c>
      <x:c r="M139" s="13" t="str">
        <x:v>Transcript association</x:v>
      </x:c>
      <x:c r="N139" s="13" t="str">
        <x:v>Ron could be a name, nickname, or a transcription of Bronson. Several distinct IDs appear; no roster identity assigned.</x:v>
      </x:c>
      <x:c r="O139" s="18" t="str">
        <x:v>Not reviewed</x:v>
      </x:c>
      <x:c r="P139" s="19" t="str">
        <x:v>https://afpd-accountability.com/records/openmhz/openmhz-afpd-car-to-car-2026-09-19/dcfems-6001-1789877024.m4a</x:v>
      </x:c>
      <x:c r="Q139" s="19" t="str">
        <x:v>https://afpd-accountability.com/records/openmhz/openmhz-afpd-car-to-car-2026-09-19/dcfems-6001-1789877059.m4a</x:v>
      </x:c>
      <x:c r="R139" s="19" t="str">
        <x:v>https://afpd-accountability.com/police-radio/?date=2026-09-19</x:v>
      </x:c>
      <x:c r="S139" s="13" t="n">
        <x:v>35</x:v>
      </x:c>
    </x:row>
    <x:row r="140" ht="60" customHeight="1">
      <x:c r="A140" s="13" t="str">
        <x:v>E133</x:v>
      </x:c>
      <x:c r="B140" s="13" t="str">
        <x:v>Diego / Garcia</x:v>
      </x:c>
      <x:c r="C140" s="14" t="n">
        <x:v>46284</x:v>
      </x:c>
      <x:c r="D140" s="13" t="n">
        <x:v>153</x:v>
      </x:c>
      <x:c r="E140" s="15" t="n">
        <x:v>0.9637962962962963</x:v>
      </x:c>
      <x:c r="F140" s="16" t="str">
        <x:v>14590085</x:v>
      </x:c>
      <x:c r="G140" s="13" t="n">
        <x:v>154</x:v>
      </x:c>
      <x:c r="H140" s="15" t="n">
        <x:v>0.9638888888888889</x:v>
      </x:c>
      <x:c r="I140" s="17" t="n">
        <x:f>ROUND((H140-E140)*86400,0)</x:f>
        <x:v>8</x:v>
      </x:c>
      <x:c r="J140" s="16" t="str">
        <x:v>14590111</x:v>
      </x:c>
      <x:c r="K140" s="13" t="str">
        <x:v>[Diego?], you can [eat?] with us.</x:v>
      </x:c>
      <x:c r="L140" s="13" t="str">
        <x:v>I appreciate [the invite?]. I’m good.</x:v>
      </x:c>
      <x:c r="M140" s="13" t="str">
        <x:v>Transcript association</x:v>
      </x:c>
      <x:c r="N140" s="13" t="str"/>
      <x:c r="O140" s="18" t="str">
        <x:v>Not reviewed</x:v>
      </x:c>
      <x:c r="P140" s="19" t="str">
        <x:v>https://afpd-accountability.com/records/openmhz/openmhz-afpd-car-to-car-2026-09-19/dcfems-6001-1789880872.m4a</x:v>
      </x:c>
      <x:c r="Q140" s="19" t="str">
        <x:v>https://afpd-accountability.com/records/openmhz/openmhz-afpd-car-to-car-2026-09-19/dcfems-6001-1789880880.m4a</x:v>
      </x:c>
      <x:c r="R140" s="19" t="str">
        <x:v>https://afpd-accountability.com/police-radio/?date=2026-09-19</x:v>
      </x:c>
      <x:c r="S140" s="13" t="n">
        <x:v>8</x:v>
      </x:c>
    </x:row>
    <x:row r="141" ht="60" customHeight="1">
      <x:c r="A141" s="13" t="str">
        <x:v>E134</x:v>
      </x:c>
      <x:c r="B141" s="13" t="str">
        <x:v>Sam</x:v>
      </x:c>
      <x:c r="C141" s="14" t="n">
        <x:v>46285</x:v>
      </x:c>
      <x:c r="D141" s="13" t="n">
        <x:v>90</x:v>
      </x:c>
      <x:c r="E141" s="15" t="n">
        <x:v>0.6506597222222222</x:v>
      </x:c>
      <x:c r="F141" s="16" t="str">
        <x:v>14590097</x:v>
      </x:c>
      <x:c r="G141" s="13" t="n">
        <x:v>91</x:v>
      </x:c>
      <x:c r="H141" s="15" t="n">
        <x:v>0.6507523148148148</x:v>
      </x:c>
      <x:c r="I141" s="17" t="n">
        <x:f>ROUND((H141-E141)*86400,0)</x:f>
        <x:v>8</x:v>
      </x:c>
      <x:c r="J141" s="16" t="str">
        <x:v>14590221</x:v>
      </x:c>
      <x:c r="K141" s="13" t="str">
        <x:v>Hey [Sam?], are you 20 on this?</x:v>
      </x:c>
      <x:c r="L141" s="13" t="str">
        <x:v>No, I haven't called you.</x:v>
      </x:c>
      <x:c r="M141" s="13" t="str">
        <x:v>Transcript association</x:v>
      </x:c>
      <x:c r="N141" s="13" t="str">
        <x:v>Several officers use Sam or Samuel. Do not combine these IDs into one officer identity.</x:v>
      </x:c>
      <x:c r="O141" s="18" t="str">
        <x:v>Not reviewed</x:v>
      </x:c>
      <x:c r="P141" s="19" t="str">
        <x:v>https://afpd-accountability.com/records/openmhz/openmhz-afpd-car-to-car-2026-09-20/dcfems-6001-1789940217.m4a</x:v>
      </x:c>
      <x:c r="Q141" s="19" t="str">
        <x:v>https://afpd-accountability.com/records/openmhz/openmhz-afpd-car-to-car-2026-09-20/dcfems-6001-1789940225.m4a</x:v>
      </x:c>
      <x:c r="R141" s="19" t="str">
        <x:v>https://afpd-accountability.com/police-radio/?date=2026-09-20</x:v>
      </x:c>
      <x:c r="S141" s="13" t="n">
        <x:v>8</x:v>
      </x:c>
    </x:row>
    <x:row r="142" ht="60" customHeight="1">
      <x:c r="A142" s="13" t="str">
        <x:v>E135</x:v>
      </x:c>
      <x:c r="B142" s="13" t="str">
        <x:v>Gonzalez / David</x:v>
      </x:c>
      <x:c r="C142" s="14" t="n">
        <x:v>46285</x:v>
      </x:c>
      <x:c r="D142" s="13" t="n">
        <x:v>106</x:v>
      </x:c>
      <x:c r="E142" s="15" t="n">
        <x:v>0.7409722222222223</x:v>
      </x:c>
      <x:c r="F142" s="16" t="str">
        <x:v>14590073</x:v>
      </x:c>
      <x:c r="G142" s="13" t="n">
        <x:v>107</x:v>
      </x:c>
      <x:c r="H142" s="15" t="n">
        <x:v>0.7410532407407407</x:v>
      </x:c>
      <x:c r="I142" s="17" t="n">
        <x:f>ROUND((H142-E142)*86400,0)</x:f>
        <x:v>7</x:v>
      </x:c>
      <x:c r="J142" s="16" t="str">
        <x:v>14580152</x:v>
      </x:c>
      <x:c r="K142" s="13" t="str">
        <x:v>Hey [David?], are you available to come over here for translation?</x:v>
      </x:c>
      <x:c r="L142" s="13" t="str">
        <x:v>On my way</x:v>
      </x:c>
      <x:c r="M142" s="13" t="str">
        <x:v>Transcript association</x:v>
      </x:c>
      <x:c r="N142" s="13" t="str"/>
      <x:c r="O142" s="18" t="str">
        <x:v>Not reviewed</x:v>
      </x:c>
      <x:c r="P142" s="19" t="str">
        <x:v>https://afpd-accountability.com/records/openmhz/openmhz-afpd-car-to-car-2026-09-20/dcfems-6001-1789948020.m4a</x:v>
      </x:c>
      <x:c r="Q142" s="19" t="str">
        <x:v>https://afpd-accountability.com/records/openmhz/openmhz-afpd-car-to-car-2026-09-20/dcfems-6001-1789948027.m4a</x:v>
      </x:c>
      <x:c r="R142" s="19" t="str">
        <x:v>https://afpd-accountability.com/police-radio/?date=2026-09-20</x:v>
      </x:c>
      <x:c r="S142" s="13" t="n">
        <x:v>7</x:v>
      </x:c>
    </x:row>
    <x:row r="143" ht="60" customHeight="1">
      <x:c r="A143" s="13" t="str">
        <x:v>E136</x:v>
      </x:c>
      <x:c r="B143" s="13" t="str">
        <x:v>Gonzalez / David</x:v>
      </x:c>
      <x:c r="C143" s="14" t="n">
        <x:v>46285</x:v>
      </x:c>
      <x:c r="D143" s="13" t="n">
        <x:v>110</x:v>
      </x:c>
      <x:c r="E143" s="15" t="n">
        <x:v>0.7446180555555556</x:v>
      </x:c>
      <x:c r="F143" s="16" t="str">
        <x:v>14590073</x:v>
      </x:c>
      <x:c r="G143" s="13" t="n">
        <x:v>111</x:v>
      </x:c>
      <x:c r="H143" s="15" t="n">
        <x:v>0.7447222222222222</x:v>
      </x:c>
      <x:c r="I143" s="17" t="n">
        <x:f>ROUND((H143-E143)*86400,0)</x:f>
        <x:v>9</x:v>
      </x:c>
      <x:c r="J143" s="16" t="str">
        <x:v>14580152</x:v>
      </x:c>
      <x:c r="K143" s="13" t="str">
        <x:v>Hey [David?], you can [10-22?]. I was able to get my point across using Translate.</x:v>
      </x:c>
      <x:c r="L143" s="13" t="str">
        <x:v>I'll be just right behind you</x:v>
      </x:c>
      <x:c r="M143" s="13" t="str">
        <x:v>Transcript association</x:v>
      </x:c>
      <x:c r="N143" s="13" t="str"/>
      <x:c r="O143" s="18" t="str">
        <x:v>Not reviewed</x:v>
      </x:c>
      <x:c r="P143" s="19" t="str">
        <x:v>https://afpd-accountability.com/records/openmhz/openmhz-afpd-car-to-car-2026-09-20/dcfems-6001-1789948335.m4a</x:v>
      </x:c>
      <x:c r="Q143" s="19" t="str">
        <x:v>https://afpd-accountability.com/records/openmhz/openmhz-afpd-car-to-car-2026-09-20/dcfems-6001-1789948344.m4a</x:v>
      </x:c>
      <x:c r="R143" s="19" t="str">
        <x:v>https://afpd-accountability.com/police-radio/?date=2026-09-20</x:v>
      </x:c>
      <x:c r="S143" s="13" t="n">
        <x:v>9</x:v>
      </x:c>
    </x:row>
    <x:row r="144" ht="60" customHeight="1">
      <x:c r="A144" s="13" t="str">
        <x:v>E137</x:v>
      </x:c>
      <x:c r="B144" s="13" t="str">
        <x:v>Ron</x:v>
      </x:c>
      <x:c r="C144" s="14" t="n">
        <x:v>46285</x:v>
      </x:c>
      <x:c r="D144" s="13" t="n">
        <x:v>121</x:v>
      </x:c>
      <x:c r="E144" s="15" t="n">
        <x:v>0.8137384259259259</x:v>
      </x:c>
      <x:c r="F144" s="16" t="str">
        <x:v>14590085</x:v>
      </x:c>
      <x:c r="G144" s="13" t="n">
        <x:v>122</x:v>
      </x:c>
      <x:c r="H144" s="15" t="n">
        <x:v>0.8138425925925926</x:v>
      </x:c>
      <x:c r="I144" s="17" t="n">
        <x:f>ROUND((H144-E144)*86400,0)</x:f>
        <x:v>9</x:v>
      </x:c>
      <x:c r="J144" s="16" t="str">
        <x:v>14590037</x:v>
      </x:c>
      <x:c r="K144" s="13" t="str">
        <x:v>[Ron?], do you want me to run code to this, or just get [there?]?</x:v>
      </x:c>
      <x:c r="L144" s="13" t="str">
        <x:v>If you think you can beat fire and it's an appropriate fire for a fire extinguisher then yeah, do what you need to do.</x:v>
      </x:c>
      <x:c r="M144" s="13" t="str">
        <x:v>Transcript association</x:v>
      </x:c>
      <x:c r="N144" s="13" t="str">
        <x:v>Ron could be a name, nickname, or a transcription of Bronson. Several distinct IDs appear; no roster identity assigned.</x:v>
      </x:c>
      <x:c r="O144" s="18" t="str">
        <x:v>Not reviewed</x:v>
      </x:c>
      <x:c r="P144" s="19" t="str">
        <x:v>https://afpd-accountability.com/records/openmhz/openmhz-afpd-car-to-car-2026-09-20/dcfems-6001-1789954307.m4a</x:v>
      </x:c>
      <x:c r="Q144" s="19" t="str">
        <x:v>https://afpd-accountability.com/records/openmhz/openmhz-afpd-car-to-car-2026-09-20/dcfems-6001-1789954316.m4a</x:v>
      </x:c>
      <x:c r="R144" s="19" t="str">
        <x:v>https://afpd-accountability.com/police-radio/?date=2026-09-20</x:v>
      </x:c>
      <x:c r="S144" s="13" t="n">
        <x:v>9</x:v>
      </x:c>
    </x:row>
    <x:row r="145" ht="60" customHeight="1">
      <x:c r="A145" s="13" t="str">
        <x:v>E138</x:v>
      </x:c>
      <x:c r="B145" s="13" t="str">
        <x:v>Mason</x:v>
      </x:c>
      <x:c r="C145" s="14" t="n">
        <x:v>46286</x:v>
      </x:c>
      <x:c r="D145" s="13" t="n">
        <x:v>33</x:v>
      </x:c>
      <x:c r="E145" s="15" t="n">
        <x:v>0.6356597222222222</x:v>
      </x:c>
      <x:c r="F145" s="16" t="str">
        <x:v>14590112</x:v>
      </x:c>
      <x:c r="G145" s="13" t="n">
        <x:v>34</x:v>
      </x:c>
      <x:c r="H145" s="15" t="n">
        <x:v>0.6357175925925926</x:v>
      </x:c>
      <x:c r="I145" s="17" t="n">
        <x:f>ROUND((H145-E145)*86400,0)</x:f>
        <x:v>5</x:v>
      </x:c>
      <x:c r="J145" s="16" t="str">
        <x:v>14590237</x:v>
      </x:c>
      <x:c r="K145" s="13" t="str">
        <x:v>Hey [Mason?], you on here?</x:v>
      </x:c>
      <x:c r="L145" s="13" t="str">
        <x:v>Oh yeah, what's up?</x:v>
      </x:c>
      <x:c r="M145" s="13" t="str">
        <x:v>Transcript association</x:v>
      </x:c>
      <x:c r="N145" s="13" t="str"/>
      <x:c r="O145" s="18" t="str">
        <x:v>Not reviewed</x:v>
      </x:c>
      <x:c r="P145" s="19" t="str">
        <x:v>https://afpd-accountability.com/records/openmhz/openmhz-afpd-car-to-car-2026-09-21/dcfems-6001-1790025321.m4a</x:v>
      </x:c>
      <x:c r="Q145" s="19" t="str">
        <x:v>https://afpd-accountability.com/records/openmhz/openmhz-afpd-car-to-car-2026-09-21/dcfems-6001-1790025326.m4a</x:v>
      </x:c>
      <x:c r="R145" s="19" t="str">
        <x:v>https://afpd-accountability.com/police-radio/?date=2026-09-21</x:v>
      </x:c>
      <x:c r="S145" s="13" t="n">
        <x:v>5</x:v>
      </x:c>
    </x:row>
    <x:row r="146" ht="60" customHeight="1">
      <x:c r="A146" s="13" t="str">
        <x:v>E139</x:v>
      </x:c>
      <x:c r="B146" s="13" t="str">
        <x:v>Mason</x:v>
      </x:c>
      <x:c r="C146" s="14" t="n">
        <x:v>46286</x:v>
      </x:c>
      <x:c r="D146" s="13" t="n">
        <x:v>65</x:v>
      </x:c>
      <x:c r="E146" s="15" t="n">
        <x:v>0.6816087962962963</x:v>
      </x:c>
      <x:c r="F146" s="16" t="str">
        <x:v>14590112</x:v>
      </x:c>
      <x:c r="G146" s="13" t="n">
        <x:v>66</x:v>
      </x:c>
      <x:c r="H146" s="15" t="n">
        <x:v>0.6817708333333333</x:v>
      </x:c>
      <x:c r="I146" s="17" t="n">
        <x:f>ROUND((H146-E146)*86400,0)</x:f>
        <x:v>14</x:v>
      </x:c>
      <x:c r="J146" s="16" t="str">
        <x:v>14590315</x:v>
      </x:c>
      <x:c r="K146" s="13" t="str">
        <x:v>Hey [Mason?], I’m about to be off for the day, but if you want to have dispatch reopen that call in the morning, that’d be fine.</x:v>
      </x:c>
      <x:c r="L146" s="13" t="str">
        <x:v>Okay, sweet, I'll have him do that. Thank you.</x:v>
      </x:c>
      <x:c r="M146" s="13" t="str">
        <x:v>Transcript association</x:v>
      </x:c>
      <x:c r="N146" s="13" t="str"/>
      <x:c r="O146" s="18" t="str">
        <x:v>Not reviewed</x:v>
      </x:c>
      <x:c r="P146" s="19" t="str">
        <x:v>https://afpd-accountability.com/records/openmhz/openmhz-afpd-car-to-car-2026-09-21/dcfems-6001-1790029291.m4a</x:v>
      </x:c>
      <x:c r="Q146" s="19" t="str">
        <x:v>https://afpd-accountability.com/records/openmhz/openmhz-afpd-car-to-car-2026-09-21/dcfems-6001-1790029305.m4a</x:v>
      </x:c>
      <x:c r="R146" s="19" t="str">
        <x:v>https://afpd-accountability.com/police-radio/?date=2026-09-21</x:v>
      </x:c>
      <x:c r="S146" s="13" t="n">
        <x:v>14</x:v>
      </x:c>
    </x:row>
    <x:row r="147" ht="60" customHeight="1">
      <x:c r="A147" s="13" t="str">
        <x:v>E140</x:v>
      </x:c>
      <x:c r="B147" s="13" t="str">
        <x:v>Richardson / Cole</x:v>
      </x:c>
      <x:c r="C147" s="14" t="n">
        <x:v>46286</x:v>
      </x:c>
      <x:c r="D147" s="13" t="n">
        <x:v>98</x:v>
      </x:c>
      <x:c r="E147" s="15" t="n">
        <x:v>0.7214236111111111</x:v>
      </x:c>
      <x:c r="F147" s="16" t="str">
        <x:v>14590084</x:v>
      </x:c>
      <x:c r="G147" s="13" t="n">
        <x:v>99</x:v>
      </x:c>
      <x:c r="H147" s="15" t="n">
        <x:v>0.7215162037037037</x:v>
      </x:c>
      <x:c r="I147" s="17" t="n">
        <x:f>ROUND((H147-E147)*86400,0)</x:f>
        <x:v>8</x:v>
      </x:c>
      <x:c r="J147" s="16" t="str">
        <x:v>14590044</x:v>
      </x:c>
      <x:c r="K147" s="13" t="str">
        <x:v>Yeah [Cole?], if you just want to give me all the information, I'll get it done.</x:v>
      </x:c>
      <x:c r="L147" s="13" t="str">
        <x:v>[Got it / thank you?]</x:v>
      </x:c>
      <x:c r="M147" s="13" t="str">
        <x:v>Transcript association</x:v>
      </x:c>
      <x:c r="N147" s="13" t="str"/>
      <x:c r="O147" s="18" t="str">
        <x:v>Not reviewed</x:v>
      </x:c>
      <x:c r="P147" s="19" t="str">
        <x:v>https://afpd-accountability.com/records/openmhz/openmhz-afpd-car-to-car-2026-09-21/dcfems-6001-1790032731.m4a</x:v>
      </x:c>
      <x:c r="Q147" s="19" t="str">
        <x:v>https://afpd-accountability.com/records/openmhz/openmhz-afpd-car-to-car-2026-09-21/dcfems-6001-1790032739.m4a</x:v>
      </x:c>
      <x:c r="R147" s="19" t="str">
        <x:v>https://afpd-accountability.com/police-radio/?date=2026-09-21</x:v>
      </x:c>
      <x:c r="S147" s="13" t="n">
        <x:v>8</x:v>
      </x:c>
    </x:row>
    <x:row r="148" ht="60" customHeight="1">
      <x:c r="A148" s="13" t="str">
        <x:v>E141</x:v>
      </x:c>
      <x:c r="B148" s="13" t="str">
        <x:v>Greg</x:v>
      </x:c>
      <x:c r="C148" s="14" t="n">
        <x:v>46286</x:v>
      </x:c>
      <x:c r="D148" s="13" t="n">
        <x:v>100</x:v>
      </x:c>
      <x:c r="E148" s="15" t="n">
        <x:v>0.804537037037037</x:v>
      </x:c>
      <x:c r="F148" s="16" t="str">
        <x:v>14590313</x:v>
      </x:c>
      <x:c r="G148" s="13" t="n">
        <x:v>101</x:v>
      </x:c>
      <x:c r="H148" s="15" t="n">
        <x:v>0.8045833333333333</x:v>
      </x:c>
      <x:c r="I148" s="17" t="n">
        <x:f>ROUND((H148-E148)*86400,0)</x:f>
        <x:v>4</x:v>
      </x:c>
      <x:c r="J148" s="16" t="str">
        <x:v>14590098</x:v>
      </x:c>
      <x:c r="K148" s="13" t="str">
        <x:v>Hey [Greg?], are you still in the Cedar Hills area?</x:v>
      </x:c>
      <x:c r="L148" s="13" t="str">
        <x:v>[No?], I just left, but I can come back up. I'm just by the hospital.</x:v>
      </x:c>
      <x:c r="M148" s="13" t="str">
        <x:v>Transcript association</x:v>
      </x:c>
      <x:c r="N148" s="13" t="str"/>
      <x:c r="O148" s="18" t="str">
        <x:v>Not reviewed</x:v>
      </x:c>
      <x:c r="P148" s="19" t="str">
        <x:v>https://afpd-accountability.com/records/openmhz/openmhz-afpd-car-to-car-2026-09-21/dcfems-6001-1790039912.m4a</x:v>
      </x:c>
      <x:c r="Q148" s="19" t="str">
        <x:v>https://afpd-accountability.com/records/openmhz/openmhz-afpd-car-to-car-2026-09-21/dcfems-6001-1790039916.m4a</x:v>
      </x:c>
      <x:c r="R148" s="19" t="str">
        <x:v>https://afpd-accountability.com/police-radio/?date=2026-09-21</x:v>
      </x:c>
      <x:c r="S148" s="13" t="n">
        <x:v>4</x:v>
      </x:c>
    </x:row>
    <x:row r="149" ht="60" customHeight="1">
      <x:c r="A149" s="13" t="str">
        <x:v>E142</x:v>
      </x:c>
      <x:c r="B149" s="13" t="str">
        <x:v>Jake</x:v>
      </x:c>
      <x:c r="C149" s="14" t="n">
        <x:v>46287</x:v>
      </x:c>
      <x:c r="D149" s="13" t="n">
        <x:v>85</x:v>
      </x:c>
      <x:c r="E149" s="15" t="n">
        <x:v>0.45413194444444444</x:v>
      </x:c>
      <x:c r="F149" s="16" t="str">
        <x:v>14590087</x:v>
      </x:c>
      <x:c r="G149" s="13" t="n">
        <x:v>86</x:v>
      </x:c>
      <x:c r="H149" s="15" t="n">
        <x:v>0.4542361111111111</x:v>
      </x:c>
      <x:c r="I149" s="17" t="n">
        <x:f>ROUND((H149-E149)*86400,0)</x:f>
        <x:v>9</x:v>
      </x:c>
      <x:c r="J149" s="16" t="str">
        <x:v>14590118</x:v>
      </x:c>
      <x:c r="K149" s="13" t="str">
        <x:v>Hey Jake, I'm on State. Pretty close to that.</x:v>
      </x:c>
      <x:c r="L149" s="13" t="str">
        <x:v>Copy, if you want to just get there.</x:v>
      </x:c>
      <x:c r="M149" s="13" t="str">
        <x:v>Transcript association</x:v>
      </x:c>
      <x:c r="N149" s="13" t="str">
        <x:v>More than one officer on the roster uses Jake or Jacob. These rows preserve the spoken first name only.</x:v>
      </x:c>
      <x:c r="O149" s="18" t="str">
        <x:v>Not reviewed</x:v>
      </x:c>
      <x:c r="P149" s="19" t="str">
        <x:v>https://afpd-accountability.com/records/openmhz/openmhz-afpd-car-to-car-2026-09-22/dcfems-6001-1790096037.m4a</x:v>
      </x:c>
      <x:c r="Q149" s="19" t="str">
        <x:v>https://afpd-accountability.com/records/openmhz/openmhz-afpd-car-to-car-2026-09-22/dcfems-6001-1790096046.m4a</x:v>
      </x:c>
      <x:c r="R149" s="19" t="str">
        <x:v>https://afpd-accountability.com/police-radio/?date=2026-09-22</x:v>
      </x:c>
      <x:c r="S149" s="13" t="n">
        <x:v>9</x:v>
      </x:c>
    </x:row>
    <x:row r="150" ht="60" customHeight="1">
      <x:c r="A150" s="13" t="str">
        <x:v>E143</x:v>
      </x:c>
      <x:c r="B150" s="13" t="str">
        <x:v>Laycock</x:v>
      </x:c>
      <x:c r="C150" s="14" t="n">
        <x:v>46287</x:v>
      </x:c>
      <x:c r="D150" s="13" t="n">
        <x:v>189</x:v>
      </x:c>
      <x:c r="E150" s="15" t="n">
        <x:v>0.48619212962962965</x:v>
      </x:c>
      <x:c r="F150" s="16" t="str">
        <x:v>14590247</x:v>
      </x:c>
      <x:c r="G150" s="13" t="n">
        <x:v>190</x:v>
      </x:c>
      <x:c r="H150" s="15" t="n">
        <x:v>0.48625</x:v>
      </x:c>
      <x:c r="I150" s="17" t="n">
        <x:f>ROUND((H150-E150)*86400,0)</x:f>
        <x:v>5</x:v>
      </x:c>
      <x:c r="J150" s="16" t="str">
        <x:v>14590025</x:v>
      </x:c>
      <x:c r="K150" s="13" t="str">
        <x:v>[Laycock?], are you trying to make contact with [him/them?] inside the store?</x:v>
      </x:c>
      <x:c r="L150" s="13" t="str">
        <x:v>We don't know where he's at yet. They said that they saw him in here before, but I need two people still on the front doors.</x:v>
      </x:c>
      <x:c r="M150" s="13" t="str">
        <x:v>Transcript association</x:v>
      </x:c>
      <x:c r="N150" s="13" t="str">
        <x:v>Surname hail is marked uncertain in the transcript. This supports a Laycock candidate for 14590025, not for every ID answering Jake.</x:v>
      </x:c>
      <x:c r="O150" s="18" t="str">
        <x:v>Not reviewed</x:v>
      </x:c>
      <x:c r="P150" s="19" t="str">
        <x:v>https://afpd-accountability.com/records/openmhz/openmhz-afpd-car-to-car-2026-09-22/dcfems-6001-1790098807.m4a</x:v>
      </x:c>
      <x:c r="Q150" s="19" t="str">
        <x:v>https://afpd-accountability.com/records/openmhz/openmhz-afpd-car-to-car-2026-09-22/dcfems-6001-1790098812.m4a</x:v>
      </x:c>
      <x:c r="R150" s="19" t="str">
        <x:v>https://afpd-accountability.com/police-radio/?date=2026-09-22</x:v>
      </x:c>
      <x:c r="S150" s="13" t="n">
        <x:v>5</x:v>
      </x:c>
    </x:row>
    <x:row r="151" ht="60" customHeight="1">
      <x:c r="A151" s="13" t="str">
        <x:v>E144</x:v>
      </x:c>
      <x:c r="B151" s="13" t="str">
        <x:v>Makai / Kelepi</x:v>
      </x:c>
      <x:c r="C151" s="14" t="n">
        <x:v>46287</x:v>
      </x:c>
      <x:c r="D151" s="13" t="n">
        <x:v>226</x:v>
      </x:c>
      <x:c r="E151" s="15" t="n">
        <x:v>0.49005787037037035</x:v>
      </x:c>
      <x:c r="F151" s="16" t="str">
        <x:v>14590219</x:v>
      </x:c>
      <x:c r="G151" s="13" t="n">
        <x:v>227</x:v>
      </x:c>
      <x:c r="H151" s="15" t="n">
        <x:v>0.49011574074074077</x:v>
      </x:c>
      <x:c r="I151" s="17" t="n">
        <x:f>ROUND((H151-E151)*86400,0)</x:f>
        <x:v>5</x:v>
      </x:c>
      <x:c r="J151" s="16" t="str">
        <x:v>14590084</x:v>
      </x:c>
      <x:c r="K151" s="13" t="str">
        <x:v>Hey, [Makai?], it's the same guy that we were watching.</x:v>
      </x:c>
      <x:c r="L151" s="13" t="str">
        <x:v>Yeah, I heard. Do you guys still need me covering grocery?</x:v>
      </x:c>
      <x:c r="M151" s="13" t="str">
        <x:v>Transcript association</x:v>
      </x:c>
      <x:c r="N151" s="13" t="str"/>
      <x:c r="O151" s="18" t="str">
        <x:v>Not reviewed</x:v>
      </x:c>
      <x:c r="P151" s="19" t="str">
        <x:v>https://afpd-accountability.com/records/openmhz/openmhz-afpd-car-to-car-2026-09-22/dcfems-6001-1790099141.m4a</x:v>
      </x:c>
      <x:c r="Q151" s="19" t="str">
        <x:v>https://afpd-accountability.com/records/openmhz/openmhz-afpd-car-to-car-2026-09-22/dcfems-6001-1790099146.m4a</x:v>
      </x:c>
      <x:c r="R151" s="19" t="str">
        <x:v>https://afpd-accountability.com/police-radio/?date=2026-09-22</x:v>
      </x:c>
      <x:c r="S151" s="13" t="n">
        <x:v>5</x:v>
      </x:c>
    </x:row>
    <x:row r="152" ht="60" customHeight="1">
      <x:c r="A152" s="13" t="str">
        <x:v>E145</x:v>
      </x:c>
      <x:c r="B152" s="13" t="str">
        <x:v>Jake</x:v>
      </x:c>
      <x:c r="C152" s="14" t="n">
        <x:v>46287</x:v>
      </x:c>
      <x:c r="D152" s="13" t="n">
        <x:v>244</x:v>
      </x:c>
      <x:c r="E152" s="15" t="n">
        <x:v>0.49605324074074075</x:v>
      </x:c>
      <x:c r="F152" s="16" t="str">
        <x:v>14590123</x:v>
      </x:c>
      <x:c r="G152" s="13" t="n">
        <x:v>245</x:v>
      </x:c>
      <x:c r="H152" s="15" t="n">
        <x:v>0.496099537037037</x:v>
      </x:c>
      <x:c r="I152" s="17" t="n">
        <x:f>ROUND((H152-E152)*86400,0)</x:f>
        <x:v>4</x:v>
      </x:c>
      <x:c r="J152" s="16" t="str">
        <x:v>14590118</x:v>
      </x:c>
      <x:c r="K152" s="13" t="str">
        <x:v>Jake, are you in the LP office?</x:v>
      </x:c>
      <x:c r="L152" s="13" t="str">
        <x:v>Negative, I'm still talking to the dude outside.</x:v>
      </x:c>
      <x:c r="M152" s="13" t="str">
        <x:v>Transcript association</x:v>
      </x:c>
      <x:c r="N152" s="13" t="str">
        <x:v>More than one officer on the roster uses Jake or Jacob. These rows preserve the spoken first name only.</x:v>
      </x:c>
      <x:c r="O152" s="18" t="str">
        <x:v>Not reviewed</x:v>
      </x:c>
      <x:c r="P152" s="19" t="str">
        <x:v>https://afpd-accountability.com/records/openmhz/openmhz-afpd-car-to-car-2026-09-22/dcfems-6001-1790099659.m4a</x:v>
      </x:c>
      <x:c r="Q152" s="19" t="str">
        <x:v>https://afpd-accountability.com/records/openmhz/openmhz-afpd-car-to-car-2026-09-22/dcfems-6001-1790099663.m4a</x:v>
      </x:c>
      <x:c r="R152" s="19" t="str">
        <x:v>https://afpd-accountability.com/police-radio/?date=2026-09-22</x:v>
      </x:c>
      <x:c r="S152" s="13" t="n">
        <x:v>4</x:v>
      </x:c>
    </x:row>
    <x:row r="153" ht="60" customHeight="1">
      <x:c r="A153" s="13" t="str">
        <x:v>E146</x:v>
      </x:c>
      <x:c r="B153" s="13" t="str">
        <x:v>Richardson / Cole</x:v>
      </x:c>
      <x:c r="C153" s="14" t="n">
        <x:v>46287</x:v>
      </x:c>
      <x:c r="D153" s="13" t="n">
        <x:v>272</x:v>
      </x:c>
      <x:c r="E153" s="15" t="n">
        <x:v>0.5106481481481482</x:v>
      </x:c>
      <x:c r="F153" s="16" t="str">
        <x:v>14590118</x:v>
      </x:c>
      <x:c r="G153" s="13" t="n">
        <x:v>273</x:v>
      </x:c>
      <x:c r="H153" s="15" t="n">
        <x:v>0.5108101851851852</x:v>
      </x:c>
      <x:c r="I153" s="17" t="n">
        <x:f>ROUND((H153-E153)*86400,0)</x:f>
        <x:v>14</x:v>
      </x:c>
      <x:c r="J153" s="16" t="str">
        <x:v>14590044</x:v>
      </x:c>
      <x:c r="K153" s="13" t="str">
        <x:v>[Cole?], do they have a total amount in there?</x:v>
      </x:c>
      <x:c r="L153" s="13" t="str">
        <x:v>[2.1698?]</x:v>
      </x:c>
      <x:c r="M153" s="13" t="str">
        <x:v>Transcript association</x:v>
      </x:c>
      <x:c r="N153" s="13" t="str"/>
      <x:c r="O153" s="18" t="str">
        <x:v>Not reviewed</x:v>
      </x:c>
      <x:c r="P153" s="19" t="str">
        <x:v>https://afpd-accountability.com/records/openmhz/openmhz-afpd-car-to-car-2026-09-22/dcfems-6001-1790100920.m4a</x:v>
      </x:c>
      <x:c r="Q153" s="19" t="str">
        <x:v>https://afpd-accountability.com/records/openmhz/openmhz-afpd-car-to-car-2026-09-22/dcfems-6001-1790100934.m4a</x:v>
      </x:c>
      <x:c r="R153" s="19" t="str">
        <x:v>https://afpd-accountability.com/police-radio/?date=2026-09-22</x:v>
      </x:c>
      <x:c r="S153" s="13" t="n">
        <x:v>14</x:v>
      </x:c>
    </x:row>
    <x:row r="154" ht="60" customHeight="1">
      <x:c r="A154" s="13" t="str">
        <x:v>E147</x:v>
      </x:c>
      <x:c r="B154" s="13" t="str">
        <x:v>Mason</x:v>
      </x:c>
      <x:c r="C154" s="14" t="n">
        <x:v>46287</x:v>
      </x:c>
      <x:c r="D154" s="13" t="n">
        <x:v>275</x:v>
      </x:c>
      <x:c r="E154" s="15" t="n">
        <x:v>0.5114120370370371</x:v>
      </x:c>
      <x:c r="F154" s="16" t="str">
        <x:v>14590118</x:v>
      </x:c>
      <x:c r="G154" s="13" t="n">
        <x:v>276</x:v>
      </x:c>
      <x:c r="H154" s="15" t="n">
        <x:v>0.5114814814814815</x:v>
      </x:c>
      <x:c r="I154" s="17" t="n">
        <x:f>ROUND((H154-E154)*86400,0)</x:f>
        <x:v>6</x:v>
      </x:c>
      <x:c r="J154" s="16" t="str">
        <x:v>14590315</x:v>
      </x:c>
      <x:c r="K154" s="13" t="str">
        <x:v>Sorry, yes, do that. Mason, will you break and just start snagging some of these other calls?</x:v>
      </x:c>
      <x:c r="L154" s="13" t="str">
        <x:v>Yeah, I got you.</x:v>
      </x:c>
      <x:c r="M154" s="13" t="str">
        <x:v>Transcript association</x:v>
      </x:c>
      <x:c r="N154" s="13" t="str"/>
      <x:c r="O154" s="18" t="str">
        <x:v>Not reviewed</x:v>
      </x:c>
      <x:c r="P154" s="19" t="str">
        <x:v>https://afpd-accountability.com/records/openmhz/openmhz-afpd-car-to-car-2026-09-22/dcfems-6001-1790100986.m4a</x:v>
      </x:c>
      <x:c r="Q154" s="19" t="str">
        <x:v>https://afpd-accountability.com/records/openmhz/openmhz-afpd-car-to-car-2026-09-22/dcfems-6001-1790100992.m4a</x:v>
      </x:c>
      <x:c r="R154" s="19" t="str">
        <x:v>https://afpd-accountability.com/police-radio/?date=2026-09-22</x:v>
      </x:c>
      <x:c r="S154" s="13" t="n">
        <x:v>6</x:v>
      </x:c>
    </x:row>
    <x:row r="155" ht="60" customHeight="1">
      <x:c r="A155" s="13" t="str">
        <x:v>E148</x:v>
      </x:c>
      <x:c r="B155" s="13" t="str">
        <x:v>Richardson / Cole</x:v>
      </x:c>
      <x:c r="C155" s="14" t="n">
        <x:v>46287</x:v>
      </x:c>
      <x:c r="D155" s="13" t="n">
        <x:v>298</x:v>
      </x:c>
      <x:c r="E155" s="15" t="n">
        <x:v>0.5397569444444444</x:v>
      </x:c>
      <x:c r="F155" s="16" t="str">
        <x:v>14590118</x:v>
      </x:c>
      <x:c r="G155" s="13" t="n">
        <x:v>299</x:v>
      </x:c>
      <x:c r="H155" s="15" t="n">
        <x:v>0.5398263888888889</x:v>
      </x:c>
      <x:c r="I155" s="17" t="n">
        <x:f>ROUND((H155-E155)*86400,0)</x:f>
        <x:v>6</x:v>
      </x:c>
      <x:c r="J155" s="16" t="str">
        <x:v>14590044</x:v>
      </x:c>
      <x:c r="K155" s="13" t="str">
        <x:v>Cole, did you talk to Quinn yet?</x:v>
      </x:c>
      <x:c r="L155" s="13" t="str">
        <x:v>Sorry, [unclear].</x:v>
      </x:c>
      <x:c r="M155" s="13" t="str">
        <x:v>Transcript association</x:v>
      </x:c>
      <x:c r="N155" s="13" t="str"/>
      <x:c r="O155" s="18" t="str">
        <x:v>Not reviewed</x:v>
      </x:c>
      <x:c r="P155" s="19" t="str">
        <x:v>https://afpd-accountability.com/records/openmhz/openmhz-afpd-car-to-car-2026-09-22/dcfems-6001-1790103435.m4a</x:v>
      </x:c>
      <x:c r="Q155" s="19" t="str">
        <x:v>https://afpd-accountability.com/records/openmhz/openmhz-afpd-car-to-car-2026-09-22/dcfems-6001-1790103441.m4a</x:v>
      </x:c>
      <x:c r="R155" s="19" t="str">
        <x:v>https://afpd-accountability.com/police-radio/?date=2026-09-22</x:v>
      </x:c>
      <x:c r="S155" s="13" t="n">
        <x:v>6</x:v>
      </x:c>
    </x:row>
    <x:row r="156" ht="60" customHeight="1">
      <x:c r="A156" s="13" t="str">
        <x:v>E149</x:v>
      </x:c>
      <x:c r="B156" s="13" t="str">
        <x:v>Jake</x:v>
      </x:c>
      <x:c r="C156" s="14" t="n">
        <x:v>46287</x:v>
      </x:c>
      <x:c r="D156" s="13" t="n">
        <x:v>337</x:v>
      </x:c>
      <x:c r="E156" s="15" t="n">
        <x:v>0.5897800925925926</x:v>
      </x:c>
      <x:c r="F156" s="16" t="str">
        <x:v>14590247</x:v>
      </x:c>
      <x:c r="G156" s="13" t="n">
        <x:v>338</x:v>
      </x:c>
      <x:c r="H156" s="15" t="n">
        <x:v>0.589837962962963</x:v>
      </x:c>
      <x:c r="I156" s="17" t="n">
        <x:f>ROUND((H156-E156)*86400,0)</x:f>
        <x:v>5</x:v>
      </x:c>
      <x:c r="J156" s="16" t="str">
        <x:v>14590118</x:v>
      </x:c>
      <x:c r="K156" s="13" t="str">
        <x:v>Not very likely. Jake, do you want me to head down to you?</x:v>
      </x:c>
      <x:c r="L156" s="13" t="str">
        <x:v>You guys are good. Just grab your food.</x:v>
      </x:c>
      <x:c r="M156" s="13" t="str">
        <x:v>Transcript association</x:v>
      </x:c>
      <x:c r="N156" s="13" t="str">
        <x:v>More than one officer on the roster uses Jake or Jacob. These rows preserve the spoken first name only.</x:v>
      </x:c>
      <x:c r="O156" s="18" t="str">
        <x:v>Not reviewed</x:v>
      </x:c>
      <x:c r="P156" s="19" t="str">
        <x:v>https://afpd-accountability.com/records/openmhz/openmhz-afpd-car-to-car-2026-09-22/dcfems-6001-1790107757.m4a</x:v>
      </x:c>
      <x:c r="Q156" s="19" t="str">
        <x:v>https://afpd-accountability.com/records/openmhz/openmhz-afpd-car-to-car-2026-09-22/dcfems-6001-1790107762.m4a</x:v>
      </x:c>
      <x:c r="R156" s="19" t="str">
        <x:v>https://afpd-accountability.com/police-radio/?date=2026-09-22</x:v>
      </x:c>
      <x:c r="S156" s="13" t="n">
        <x:v>5</x:v>
      </x:c>
    </x:row>
    <x:row r="157" ht="60" customHeight="1">
      <x:c r="A157" s="13" t="str">
        <x:v>E150</x:v>
      </x:c>
      <x:c r="B157" s="13" t="str">
        <x:v>Mason</x:v>
      </x:c>
      <x:c r="C157" s="14" t="n">
        <x:v>46287</x:v>
      </x:c>
      <x:c r="D157" s="13" t="n">
        <x:v>353</x:v>
      </x:c>
      <x:c r="E157" s="15" t="n">
        <x:v>0.6737731481481481</x:v>
      </x:c>
      <x:c r="F157" s="16" t="str">
        <x:v>14590247</x:v>
      </x:c>
      <x:c r="G157" s="13" t="n">
        <x:v>354</x:v>
      </x:c>
      <x:c r="H157" s="15" t="n">
        <x:v>0.6738310185185186</x:v>
      </x:c>
      <x:c r="I157" s="17" t="n">
        <x:f>ROUND((H157-E157)*86400,0)</x:f>
        <x:v>5</x:v>
      </x:c>
      <x:c r="J157" s="16" t="str">
        <x:v>14590315</x:v>
      </x:c>
      <x:c r="K157" s="13" t="str">
        <x:v>Mason, are you good at Home Depot?</x:v>
      </x:c>
      <x:c r="L157" s="13" t="str">
        <x:v>I think so.</x:v>
      </x:c>
      <x:c r="M157" s="13" t="str">
        <x:v>Transcript association</x:v>
      </x:c>
      <x:c r="N157" s="13" t="str"/>
      <x:c r="O157" s="18" t="str">
        <x:v>Not reviewed</x:v>
      </x:c>
      <x:c r="P157" s="19" t="str">
        <x:v>https://afpd-accountability.com/records/openmhz/openmhz-afpd-car-to-car-2026-09-22/dcfems-6001-1790115014.m4a</x:v>
      </x:c>
      <x:c r="Q157" s="19" t="str">
        <x:v>https://afpd-accountability.com/records/openmhz/openmhz-afpd-car-to-car-2026-09-22/dcfems-6001-1790115019.m4a</x:v>
      </x:c>
      <x:c r="R157" s="19" t="str">
        <x:v>https://afpd-accountability.com/police-radio/?date=2026-09-22</x:v>
      </x:c>
      <x:c r="S157" s="13" t="n">
        <x:v>5</x:v>
      </x:c>
    </x:row>
    <x:row r="158" ht="60" customHeight="1">
      <x:c r="A158" s="13" t="str">
        <x:v>E151</x:v>
      </x:c>
      <x:c r="B158" s="13" t="str">
        <x:v>Cox</x:v>
      </x:c>
      <x:c r="C158" s="14" t="n">
        <x:v>46287</x:v>
      </x:c>
      <x:c r="D158" s="13" t="n">
        <x:v>445</x:v>
      </x:c>
      <x:c r="E158" s="15" t="n">
        <x:v>0.868287037037037</x:v>
      </x:c>
      <x:c r="F158" s="16" t="str">
        <x:v>14590313</x:v>
      </x:c>
      <x:c r="G158" s="13" t="n">
        <x:v>446</x:v>
      </x:c>
      <x:c r="H158" s="15" t="n">
        <x:v>0.8683680555555555</x:v>
      </x:c>
      <x:c r="I158" s="17" t="n">
        <x:f>ROUND((H158-E158)*86400,0)</x:f>
        <x:v>7</x:v>
      </x:c>
      <x:c r="J158" s="16" t="str">
        <x:v>14580155</x:v>
      </x:c>
      <x:c r="K158" s="13" t="str">
        <x:v>Hey Cox, is it in A205? Is that what it's saying?</x:v>
      </x:c>
      <x:c r="L158" s="13" t="str">
        <x:v>Yeah.</x:v>
      </x:c>
      <x:c r="M158" s="13" t="str">
        <x:v>Transcript association</x:v>
      </x:c>
      <x:c r="N158" s="13" t="str"/>
      <x:c r="O158" s="18" t="str">
        <x:v>Not reviewed</x:v>
      </x:c>
      <x:c r="P158" s="19" t="str">
        <x:v>https://afpd-accountability.com/records/openmhz/openmhz-afpd-car-to-car-2026-09-22/dcfems-6001-1790131820.m4a</x:v>
      </x:c>
      <x:c r="Q158" s="19" t="str">
        <x:v>https://afpd-accountability.com/records/openmhz/openmhz-afpd-car-to-car-2026-09-22/dcfems-6001-1790131827.m4a</x:v>
      </x:c>
      <x:c r="R158" s="19" t="str">
        <x:v>https://afpd-accountability.com/police-radio/?date=2026-09-22</x:v>
      </x:c>
      <x:c r="S158" s="13" t="n">
        <x:v>7</x:v>
      </x:c>
    </x:row>
    <x:row r="159" ht="60" customHeight="1">
      <x:c r="A159" s="13" t="str">
        <x:v>E152</x:v>
      </x:c>
      <x:c r="B159" s="13" t="str">
        <x:v>Cox</x:v>
      </x:c>
      <x:c r="C159" s="14" t="n">
        <x:v>46287</x:v>
      </x:c>
      <x:c r="D159" s="13" t="n">
        <x:v>489</x:v>
      </x:c>
      <x:c r="E159" s="15" t="n">
        <x:v>0.925787037037037</x:v>
      </x:c>
      <x:c r="F159" s="16" t="str">
        <x:v>14590345</x:v>
      </x:c>
      <x:c r="G159" s="13" t="n">
        <x:v>490</x:v>
      </x:c>
      <x:c r="H159" s="15" t="n">
        <x:v>0.9258912037037037</x:v>
      </x:c>
      <x:c r="I159" s="17" t="n">
        <x:f>ROUND((H159-E159)*86400,0)</x:f>
        <x:v>9</x:v>
      </x:c>
      <x:c r="J159" s="16" t="str">
        <x:v>14580155</x:v>
      </x:c>
      <x:c r="K159" s="13" t="str">
        <x:v>It's okay, Cox. You're barely able to eat a small portion of your tiny plate you got from [Rancheritos?], [dude/too?].</x:v>
      </x:c>
      <x:c r="L159" s="13" t="str">
        <x:v>[I feel so sick / I feel perfect?]</x:v>
      </x:c>
      <x:c r="M159" s="13" t="str">
        <x:v>Transcript association</x:v>
      </x:c>
      <x:c r="N159" s="13" t="str"/>
      <x:c r="O159" s="18" t="str">
        <x:v>Not reviewed</x:v>
      </x:c>
      <x:c r="P159" s="19" t="str">
        <x:v>https://afpd-accountability.com/records/openmhz/openmhz-afpd-car-to-car-2026-09-22/dcfems-6001-1790136788.m4a</x:v>
      </x:c>
      <x:c r="Q159" s="19" t="str">
        <x:v>https://afpd-accountability.com/records/openmhz/openmhz-afpd-car-to-car-2026-09-22/dcfems-6001-1790136797.m4a</x:v>
      </x:c>
      <x:c r="R159" s="19" t="str">
        <x:v>https://afpd-accountability.com/police-radio/?date=2026-09-22</x:v>
      </x:c>
      <x:c r="S159" s="13" t="n">
        <x:v>9</x:v>
      </x:c>
    </x:row>
    <x:row r="160" ht="60" customHeight="1">
      <x:c r="A160" s="13" t="str">
        <x:v>E153</x:v>
      </x:c>
      <x:c r="B160" s="13" t="str">
        <x:v>Cox</x:v>
      </x:c>
      <x:c r="C160" s="14" t="n">
        <x:v>46287</x:v>
      </x:c>
      <x:c r="D160" s="13" t="n">
        <x:v>495</x:v>
      </x:c>
      <x:c r="E160" s="15" t="n">
        <x:v>0.9454282407407407</x:v>
      </x:c>
      <x:c r="F160" s="16" t="str">
        <x:v>14590286</x:v>
      </x:c>
      <x:c r="G160" s="13" t="n">
        <x:v>496</x:v>
      </x:c>
      <x:c r="H160" s="15" t="n">
        <x:v>0.9455092592592592</x:v>
      </x:c>
      <x:c r="I160" s="17" t="n">
        <x:f>ROUND((H160-E160)*86400,0)</x:f>
        <x:v>7</x:v>
      </x:c>
      <x:c r="J160" s="16" t="str">
        <x:v>14590020</x:v>
      </x:c>
      <x:c r="K160" s="13" t="str">
        <x:v>Hey, [Brennan/Brendan?], I'm not hearing anything, so I'm just gonna hang tight for a sec.</x:v>
      </x:c>
      <x:c r="L160" s="13" t="str">
        <x:v>Copy, I'll drive over on 300 East for a sec, see if I hear anything.</x:v>
      </x:c>
      <x:c r="M160" s="13" t="str">
        <x:v>Transcript association</x:v>
      </x:c>
      <x:c r="N160" s="13" t="str"/>
      <x:c r="O160" s="18" t="str">
        <x:v>Not reviewed</x:v>
      </x:c>
      <x:c r="P160" s="19" t="str">
        <x:v>https://afpd-accountability.com/records/openmhz/openmhz-afpd-car-to-car-2026-09-22/dcfems-6001-1790138485.m4a</x:v>
      </x:c>
      <x:c r="Q160" s="19" t="str">
        <x:v>https://afpd-accountability.com/records/openmhz/openmhz-afpd-car-to-car-2026-09-22/dcfems-6001-1790138492.m4a</x:v>
      </x:c>
      <x:c r="R160" s="19" t="str">
        <x:v>https://afpd-accountability.com/police-radio/?date=2026-09-22</x:v>
      </x:c>
      <x:c r="S160" s="13" t="n">
        <x:v>7</x:v>
      </x:c>
    </x:row>
    <x:row r="161" ht="60" customHeight="1">
      <x:c r="A161" s="13" t="str">
        <x:v>E154</x:v>
      </x:c>
      <x:c r="B161" s="13" t="str">
        <x:v>Mitch</x:v>
      </x:c>
      <x:c r="C161" s="14" t="n">
        <x:v>46288</x:v>
      </x:c>
      <x:c r="D161" s="13" t="n">
        <x:v>25</x:v>
      </x:c>
      <x:c r="E161" s="15" t="n">
        <x:v>0.08180555555555556</x:v>
      </x:c>
      <x:c r="F161" s="16" t="str">
        <x:v>14590313</x:v>
      </x:c>
      <x:c r="G161" s="13" t="n">
        <x:v>26</x:v>
      </x:c>
      <x:c r="H161" s="15" t="n">
        <x:v>0.081875</x:v>
      </x:c>
      <x:c r="I161" s="17" t="n">
        <x:f>ROUND((H161-E161)*86400,0)</x:f>
        <x:v>6</x:v>
      </x:c>
      <x:c r="J161" s="16" t="str">
        <x:v>14590344</x:v>
      </x:c>
      <x:c r="K161" s="13" t="str">
        <x:v>Hey, Mitch. Have a good night, my friend.</x:v>
      </x:c>
      <x:c r="L161" s="13" t="str">
        <x:v>Thanks, I appreciate it. You as well.</x:v>
      </x:c>
      <x:c r="M161" s="13" t="str">
        <x:v>Transcript association</x:v>
      </x:c>
      <x:c r="N161" s="13" t="str">
        <x:v>14590036 also answers Hawkins. Keep 14590344 separate from 14590036 pending audio and assignment confirmation.</x:v>
      </x:c>
      <x:c r="O161" s="18" t="str">
        <x:v>Not reviewed</x:v>
      </x:c>
      <x:c r="P161" s="19" t="str">
        <x:v>https://afpd-accountability.com/records/openmhz/openmhz-afpd-car-to-car-2026-09-23/dcfems-6001-1790150268.m4a</x:v>
      </x:c>
      <x:c r="Q161" s="19" t="str">
        <x:v>https://afpd-accountability.com/records/openmhz/openmhz-afpd-car-to-car-2026-09-23/dcfems-6001-1790150274.m4a</x:v>
      </x:c>
      <x:c r="R161" s="19" t="str">
        <x:v>https://afpd-accountability.com/police-radio/?date=2026-09-23</x:v>
      </x:c>
      <x:c r="S161" s="13" t="n">
        <x:v>6</x:v>
      </x:c>
    </x:row>
    <x:row r="162" ht="60" customHeight="1">
      <x:c r="A162" s="13" t="str">
        <x:v>E155</x:v>
      </x:c>
      <x:c r="B162" s="13" t="str">
        <x:v>Cox</x:v>
      </x:c>
      <x:c r="C162" s="14" t="n">
        <x:v>46288</x:v>
      </x:c>
      <x:c r="D162" s="13" t="n">
        <x:v>97</x:v>
      </x:c>
      <x:c r="E162" s="15" t="n">
        <x:v>0.11435185185185186</x:v>
      </x:c>
      <x:c r="F162" s="16" t="str">
        <x:v>14590313</x:v>
      </x:c>
      <x:c r="G162" s="13" t="n">
        <x:v>98</x:v>
      </x:c>
      <x:c r="H162" s="15" t="n">
        <x:v>0.11443287037037037</x:v>
      </x:c>
      <x:c r="I162" s="17" t="n">
        <x:f>ROUND((H162-E162)*86400,0)</x:f>
        <x:v>7</x:v>
      </x:c>
      <x:c r="J162" s="16" t="str">
        <x:v>14590020</x:v>
      </x:c>
      <x:c r="K162" s="13" t="str">
        <x:v>Hey Cox, [did?] that UHP officer arrest that guy?</x:v>
      </x:c>
      <x:c r="L162" s="13" t="str">
        <x:v>No, he did not.</x:v>
      </x:c>
      <x:c r="M162" s="13" t="str">
        <x:v>Transcript association</x:v>
      </x:c>
      <x:c r="N162" s="13" t="str"/>
      <x:c r="O162" s="18" t="str">
        <x:v>Not reviewed</x:v>
      </x:c>
      <x:c r="P162" s="19" t="str">
        <x:v>https://afpd-accountability.com/records/openmhz/openmhz-afpd-car-to-car-2026-09-23/dcfems-6001-1790153080.m4a</x:v>
      </x:c>
      <x:c r="Q162" s="19" t="str">
        <x:v>https://afpd-accountability.com/records/openmhz/openmhz-afpd-car-to-car-2026-09-23/dcfems-6001-1790153087.m4a</x:v>
      </x:c>
      <x:c r="R162" s="19" t="str">
        <x:v>https://afpd-accountability.com/police-radio/?date=2026-09-23</x:v>
      </x:c>
      <x:c r="S162" s="13" t="n">
        <x:v>7</x:v>
      </x:c>
    </x:row>
    <x:row r="163" ht="60" customHeight="1">
      <x:c r="A163" s="13" t="str">
        <x:v>E156</x:v>
      </x:c>
      <x:c r="B163" s="13" t="str">
        <x:v>Phil</x:v>
      </x:c>
      <x:c r="C163" s="14" t="n">
        <x:v>46288</x:v>
      </x:c>
      <x:c r="D163" s="13" t="n">
        <x:v>159</x:v>
      </x:c>
      <x:c r="E163" s="15" t="n">
        <x:v>0.43604166666666666</x:v>
      </x:c>
      <x:c r="F163" s="16" t="str">
        <x:v>14590100</x:v>
      </x:c>
      <x:c r="G163" s="13" t="n">
        <x:v>160</x:v>
      </x:c>
      <x:c r="H163" s="15" t="n">
        <x:v>0.436099537037037</x:v>
      </x:c>
      <x:c r="I163" s="17" t="n">
        <x:f>ROUND((H163-E163)*86400,0)</x:f>
        <x:v>5</x:v>
      </x:c>
      <x:c r="J163" s="16" t="str">
        <x:v>14590126</x:v>
      </x:c>
      <x:c r="K163" s="13" t="str">
        <x:v>Hey [Phil?], could you [help Flock?]?</x:v>
      </x:c>
      <x:c r="L163" s="13" t="str">
        <x:v>Yep.</x:v>
      </x:c>
      <x:c r="M163" s="13" t="str">
        <x:v>Transcript association</x:v>
      </x:c>
      <x:c r="N163" s="13" t="str">
        <x:v>Phil is not a unique first name on the roster; Philip Valadez is a candidate because of a separate Valadez hail.</x:v>
      </x:c>
      <x:c r="O163" s="18" t="str">
        <x:v>Not reviewed</x:v>
      </x:c>
      <x:c r="P163" s="19" t="str">
        <x:v>https://afpd-accountability.com/records/openmhz/openmhz-afpd-car-to-car-2026-09-23/dcfems-6001-1790180874.m4a</x:v>
      </x:c>
      <x:c r="Q163" s="19" t="str">
        <x:v>https://afpd-accountability.com/records/openmhz/openmhz-afpd-car-to-car-2026-09-23/dcfems-6001-1790180879.m4a</x:v>
      </x:c>
      <x:c r="R163" s="19" t="str">
        <x:v>https://afpd-accountability.com/police-radio/?date=2026-09-23</x:v>
      </x:c>
      <x:c r="S163" s="13" t="n">
        <x:v>5</x:v>
      </x:c>
    </x:row>
    <x:row r="164" ht="60" customHeight="1">
      <x:c r="A164" s="13" t="str">
        <x:v>E157</x:v>
      </x:c>
      <x:c r="B164" s="13" t="str">
        <x:v>Luke</x:v>
      </x:c>
      <x:c r="C164" s="14" t="n">
        <x:v>46288</x:v>
      </x:c>
      <x:c r="D164" s="13" t="n">
        <x:v>175</x:v>
      </x:c>
      <x:c r="E164" s="15" t="n">
        <x:v>0.49376157407407406</x:v>
      </x:c>
      <x:c r="F164" s="16" t="str">
        <x:v>14590019</x:v>
      </x:c>
      <x:c r="G164" s="13" t="n">
        <x:v>176</x:v>
      </x:c>
      <x:c r="H164" s="15" t="n">
        <x:v>0.49408564814814815</x:v>
      </x:c>
      <x:c r="I164" s="17" t="n">
        <x:f>ROUND((H164-E164)*86400,0)</x:f>
        <x:v>28</x:v>
      </x:c>
      <x:c r="J164" s="16" t="str">
        <x:v>14590320</x:v>
      </x:c>
      <x:c r="K164" s="13" t="str">
        <x:v>Luke, they're at the door right now.</x:v>
      </x:c>
      <x:c r="L164" s="13" t="str">
        <x:v>Thank you.</x:v>
      </x:c>
      <x:c r="M164" s="13" t="str">
        <x:v>Transcript association</x:v>
      </x:c>
      <x:c r="N164" s="13" t="str"/>
      <x:c r="O164" s="18" t="str">
        <x:v>Not reviewed</x:v>
      </x:c>
      <x:c r="P164" s="19" t="str">
        <x:v>https://afpd-accountability.com/records/openmhz/openmhz-afpd-car-to-car-2026-09-23/dcfems-6001-1790185861.m4a</x:v>
      </x:c>
      <x:c r="Q164" s="19" t="str">
        <x:v>https://afpd-accountability.com/records/openmhz/openmhz-afpd-car-to-car-2026-09-23/dcfems-6001-1790185889.m4a</x:v>
      </x:c>
      <x:c r="R164" s="19" t="str">
        <x:v>https://afpd-accountability.com/police-radio/?date=2026-09-23</x:v>
      </x:c>
      <x:c r="S164" s="13" t="n">
        <x:v>28</x:v>
      </x:c>
    </x:row>
    <x:row r="165" ht="60" customHeight="1">
      <x:c r="A165" s="13" t="str">
        <x:v>E158</x:v>
      </x:c>
      <x:c r="B165" s="13" t="str">
        <x:v>Luke</x:v>
      </x:c>
      <x:c r="C165" s="14" t="n">
        <x:v>46288</x:v>
      </x:c>
      <x:c r="D165" s="13" t="n">
        <x:v>182</x:v>
      </x:c>
      <x:c r="E165" s="15" t="n">
        <x:v>0.5029050925925926</x:v>
      </x:c>
      <x:c r="F165" s="16" t="str">
        <x:v>14590170</x:v>
      </x:c>
      <x:c r="G165" s="13" t="n">
        <x:v>183</x:v>
      </x:c>
      <x:c r="H165" s="15" t="n">
        <x:v>0.5029976851851852</x:v>
      </x:c>
      <x:c r="I165" s="17" t="n">
        <x:f>ROUND((H165-E165)*86400,0)</x:f>
        <x:v>8</x:v>
      </x:c>
      <x:c r="J165" s="16" t="str">
        <x:v>14590117</x:v>
      </x:c>
      <x:c r="K165" s="13" t="str">
        <x:v>Luke, did you release the person to the people in the RAM yet?</x:v>
      </x:c>
      <x:c r="L165" s="13" t="str">
        <x:v>I did.</x:v>
      </x:c>
      <x:c r="M165" s="13" t="str">
        <x:v>Transcript association</x:v>
      </x:c>
      <x:c r="N165" s="13" t="str"/>
      <x:c r="O165" s="18" t="str">
        <x:v>Not reviewed</x:v>
      </x:c>
      <x:c r="P165" s="19" t="str">
        <x:v>https://afpd-accountability.com/records/openmhz/openmhz-afpd-car-to-car-2026-09-23/dcfems-6001-1790186651.m4a</x:v>
      </x:c>
      <x:c r="Q165" s="19" t="str">
        <x:v>https://afpd-accountability.com/records/openmhz/openmhz-afpd-car-to-car-2026-09-23/dcfems-6001-1790186659.m4a</x:v>
      </x:c>
      <x:c r="R165" s="19" t="str">
        <x:v>https://afpd-accountability.com/police-radio/?date=2026-09-23</x:v>
      </x:c>
      <x:c r="S165" s="13" t="n">
        <x:v>8</x:v>
      </x:c>
    </x:row>
    <x:row r="166" ht="60" customHeight="1">
      <x:c r="A166" s="13" t="str">
        <x:v>E159</x:v>
      </x:c>
      <x:c r="B166" s="13" t="str">
        <x:v>Wagley</x:v>
      </x:c>
      <x:c r="C166" s="14" t="n">
        <x:v>46288</x:v>
      </x:c>
      <x:c r="D166" s="13" t="n">
        <x:v>189</x:v>
      </x:c>
      <x:c r="E166" s="15" t="n">
        <x:v>0.5065277777777778</x:v>
      </x:c>
      <x:c r="F166" s="16" t="str">
        <x:v>14590097</x:v>
      </x:c>
      <x:c r="G166" s="13" t="n">
        <x:v>190</x:v>
      </x:c>
      <x:c r="H166" s="15" t="n">
        <x:v>0.5066898148148148</x:v>
      </x:c>
      <x:c r="I166" s="17" t="n">
        <x:f>ROUND((H166-E166)*86400,0)</x:f>
        <x:v>14</x:v>
      </x:c>
      <x:c r="J166" s="16" t="str">
        <x:v>14590019</x:v>
      </x:c>
      <x:c r="K166" s="13" t="str">
        <x:v>[Waggly / by the way?], you need another or you good?</x:v>
      </x:c>
      <x:c r="L166" s="13" t="str">
        <x:v>And this shouldn't take too long, knock on wood, but you can eat food without me.</x:v>
      </x:c>
      <x:c r="M166" s="13" t="str">
        <x:v>Transcript association</x:v>
      </x:c>
      <x:c r="N166" s="13" t="str"/>
      <x:c r="O166" s="18" t="str">
        <x:v>Not reviewed</x:v>
      </x:c>
      <x:c r="P166" s="19" t="str">
        <x:v>https://afpd-accountability.com/records/openmhz/openmhz-afpd-car-to-car-2026-09-23/dcfems-6001-1790186964.m4a</x:v>
      </x:c>
      <x:c r="Q166" s="19" t="str">
        <x:v>https://afpd-accountability.com/records/openmhz/openmhz-afpd-car-to-car-2026-09-23/dcfems-6001-1790186978.m4a</x:v>
      </x:c>
      <x:c r="R166" s="19" t="str">
        <x:v>https://afpd-accountability.com/police-radio/?date=2026-09-23</x:v>
      </x:c>
      <x:c r="S166" s="13" t="n">
        <x:v>14</x:v>
      </x:c>
    </x:row>
    <x:row r="167" ht="60" customHeight="1">
      <x:c r="A167" s="13" t="str">
        <x:v>E160</x:v>
      </x:c>
      <x:c r="B167" s="13" t="str">
        <x:v>Wagley</x:v>
      </x:c>
      <x:c r="C167" s="14" t="n">
        <x:v>46288</x:v>
      </x:c>
      <x:c r="D167" s="13" t="n">
        <x:v>230</x:v>
      </x:c>
      <x:c r="E167" s="15" t="n">
        <x:v>0.7168518518518519</x:v>
      </x:c>
      <x:c r="F167" s="16" t="str">
        <x:v>14590100</x:v>
      </x:c>
      <x:c r="G167" s="13" t="n">
        <x:v>231</x:v>
      </x:c>
      <x:c r="H167" s="15" t="n">
        <x:v>0.7171296296296297</x:v>
      </x:c>
      <x:c r="I167" s="17" t="n">
        <x:f>ROUND((H167-E167)*86400,0)</x:f>
        <x:v>24</x:v>
      </x:c>
      <x:c r="J167" s="16" t="str">
        <x:v>14590079</x:v>
      </x:c>
      <x:c r="K167" s="13" t="str">
        <x:v>[Waggly?], I can head your way.</x:v>
      </x:c>
      <x:c r="L167" s="13" t="str">
        <x:v>I'm at the base, we're good.</x:v>
      </x:c>
      <x:c r="M167" s="13" t="str">
        <x:v>Transcript association</x:v>
      </x:c>
      <x:c r="N167" s="13" t="str"/>
      <x:c r="O167" s="18" t="str">
        <x:v>Not reviewed</x:v>
      </x:c>
      <x:c r="P167" s="19" t="str">
        <x:v>https://afpd-accountability.com/records/openmhz/openmhz-afpd-car-to-car-2026-09-23/dcfems-6001-1790205136.m4a</x:v>
      </x:c>
      <x:c r="Q167" s="19" t="str">
        <x:v>https://afpd-accountability.com/records/openmhz/openmhz-afpd-car-to-car-2026-09-23/dcfems-6001-1790205160.m4a</x:v>
      </x:c>
      <x:c r="R167" s="19" t="str">
        <x:v>https://afpd-accountability.com/police-radio/?date=2026-09-23</x:v>
      </x:c>
      <x:c r="S167" s="13" t="n">
        <x:v>24</x:v>
      </x:c>
    </x:row>
    <x:row r="168" ht="60" customHeight="1">
      <x:c r="A168" s="13" t="str">
        <x:v>E161</x:v>
      </x:c>
      <x:c r="B168" s="13" t="str">
        <x:v>McClellan / Dennis</x:v>
      </x:c>
      <x:c r="C168" s="14" t="n">
        <x:v>46288</x:v>
      </x:c>
      <x:c r="D168" s="13" t="n">
        <x:v>233</x:v>
      </x:c>
      <x:c r="E168" s="15" t="n">
        <x:v>0.7182175925925925</x:v>
      </x:c>
      <x:c r="F168" s="16" t="str">
        <x:v>14590027</x:v>
      </x:c>
      <x:c r="G168" s="13" t="n">
        <x:v>234</x:v>
      </x:c>
      <x:c r="H168" s="15" t="n">
        <x:v>0.7182986111111112</x:v>
      </x:c>
      <x:c r="I168" s="17" t="n">
        <x:f>ROUND((H168-E168)*86400,0)</x:f>
        <x:v>7</x:v>
      </x:c>
      <x:c r="J168" s="16" t="str">
        <x:v>14590162</x:v>
      </x:c>
      <x:c r="K168" s="13" t="str">
        <x:v>Hey Dennis, we're [code 4?] if you guys want to go.</x:v>
      </x:c>
      <x:c r="L168" s="13" t="str">
        <x:v>[Copy?]</x:v>
      </x:c>
      <x:c r="M168" s="13" t="str">
        <x:v>Transcript association</x:v>
      </x:c>
      <x:c r="N168" s="13" t="str"/>
      <x:c r="O168" s="18" t="str">
        <x:v>Not reviewed</x:v>
      </x:c>
      <x:c r="P168" s="19" t="str">
        <x:v>https://afpd-accountability.com/records/openmhz/openmhz-afpd-car-to-car-2026-09-23/dcfems-6001-1790205254.m4a</x:v>
      </x:c>
      <x:c r="Q168" s="19" t="str">
        <x:v>https://afpd-accountability.com/records/openmhz/openmhz-afpd-car-to-car-2026-09-23/dcfems-6001-1790205261.m4a</x:v>
      </x:c>
      <x:c r="R168" s="19" t="str">
        <x:v>https://afpd-accountability.com/police-radio/?date=2026-09-23</x:v>
      </x:c>
      <x:c r="S168" s="13" t="n">
        <x:v>7</x:v>
      </x:c>
    </x:row>
    <x:row r="169" ht="60" customHeight="1">
      <x:c r="A169" s="13" t="str">
        <x:v>E162</x:v>
      </x:c>
      <x:c r="B169" s="13" t="str">
        <x:v>Luke</x:v>
      </x:c>
      <x:c r="C169" s="14" t="n">
        <x:v>46288</x:v>
      </x:c>
      <x:c r="D169" s="13" t="n">
        <x:v>243</x:v>
      </x:c>
      <x:c r="E169" s="15" t="n">
        <x:v>0.7381018518518518</x:v>
      </x:c>
      <x:c r="F169" s="16" t="str">
        <x:v>14590097</x:v>
      </x:c>
      <x:c r="G169" s="13" t="n">
        <x:v>244</x:v>
      </x:c>
      <x:c r="H169" s="15" t="n">
        <x:v>0.7381944444444445</x:v>
      </x:c>
      <x:c r="I169" s="17" t="n">
        <x:f>ROUND((H169-E169)*86400,0)</x:f>
        <x:v>8</x:v>
      </x:c>
      <x:c r="J169" s="16" t="str">
        <x:v>14590117</x:v>
      </x:c>
      <x:c r="K169" s="13" t="str">
        <x:v>Hey Luke, what was your case number on that?</x:v>
      </x:c>
      <x:c r="L169" s="13" t="str">
        <x:v>8 2 7 1.</x:v>
      </x:c>
      <x:c r="M169" s="13" t="str">
        <x:v>Transcript association</x:v>
      </x:c>
      <x:c r="N169" s="13" t="str"/>
      <x:c r="O169" s="18" t="str">
        <x:v>Not reviewed</x:v>
      </x:c>
      <x:c r="P169" s="19" t="str">
        <x:v>https://afpd-accountability.com/records/openmhz/openmhz-afpd-car-to-car-2026-09-23/dcfems-6001-1790206972.m4a</x:v>
      </x:c>
      <x:c r="Q169" s="19" t="str">
        <x:v>https://afpd-accountability.com/records/openmhz/openmhz-afpd-car-to-car-2026-09-23/dcfems-6001-1790206980.m4a</x:v>
      </x:c>
      <x:c r="R169" s="19" t="str">
        <x:v>https://afpd-accountability.com/police-radio/?date=2026-09-23</x:v>
      </x:c>
      <x:c r="S169" s="13" t="n">
        <x:v>8</x:v>
      </x:c>
    </x:row>
    <x:row r="170" ht="60" customHeight="1">
      <x:c r="A170" s="13" t="str">
        <x:v>E163</x:v>
      </x:c>
      <x:c r="B170" s="13" t="str">
        <x:v>Sam</x:v>
      </x:c>
      <x:c r="C170" s="14" t="n">
        <x:v>46289</x:v>
      </x:c>
      <x:c r="D170" s="13" t="n">
        <x:v>80</x:v>
      </x:c>
      <x:c r="E170" s="15" t="n">
        <x:v>0.44854166666666667</x:v>
      </x:c>
      <x:c r="F170" s="16" t="str">
        <x:v>14590072</x:v>
      </x:c>
      <x:c r="G170" s="13" t="n">
        <x:v>81</x:v>
      </x:c>
      <x:c r="H170" s="15" t="n">
        <x:v>0.44858796296296294</x:v>
      </x:c>
      <x:c r="I170" s="17" t="n">
        <x:f>ROUND((H170-E170)*86400,0)</x:f>
        <x:v>4</x:v>
      </x:c>
      <x:c r="J170" s="16" t="str">
        <x:v>14590100</x:v>
      </x:c>
      <x:c r="K170" s="13" t="str">
        <x:v>Sam, the real question is are you worthy?</x:v>
      </x:c>
      <x:c r="L170" s="13" t="str">
        <x:v>I will be in about 10 minutes.</x:v>
      </x:c>
      <x:c r="M170" s="13" t="str">
        <x:v>Transcript association</x:v>
      </x:c>
      <x:c r="N170" s="13" t="str">
        <x:v>Owner identifies the female reply as Sammantha J. Halladay. Full exchange wording remains unverified.</x:v>
      </x:c>
      <x:c r="O170" s="18" t="str">
        <x:v>Not reviewed</x:v>
      </x:c>
      <x:c r="P170" s="19" t="str">
        <x:v>https://afpd-accountability.com/records/openmhz/openmhz-afpd-car-to-car-2026-09-24/dcfems-6001-1790268354.m4a</x:v>
      </x:c>
      <x:c r="Q170" s="19" t="str">
        <x:v>https://afpd-accountability.com/records/openmhz/openmhz-afpd-car-to-car-2026-09-24/dcfems-6001-1790268358.m4a</x:v>
      </x:c>
      <x:c r="R170" s="19" t="str">
        <x:v>https://afpd-accountability.com/police-radio/?date=2026-09-24</x:v>
      </x:c>
      <x:c r="S170" s="13" t="n">
        <x:v>4</x:v>
      </x:c>
    </x:row>
    <x:row r="171" ht="60" customHeight="1">
      <x:c r="A171" s="13" t="str">
        <x:v>E164</x:v>
      </x:c>
      <x:c r="B171" s="13" t="str">
        <x:v>Sam</x:v>
      </x:c>
      <x:c r="C171" s="14" t="n">
        <x:v>46289</x:v>
      </x:c>
      <x:c r="D171" s="13" t="n">
        <x:v>85</x:v>
      </x:c>
      <x:c r="E171" s="15" t="n">
        <x:v>0.449375</x:v>
      </x:c>
      <x:c r="F171" s="16" t="str">
        <x:v>14590072</x:v>
      </x:c>
      <x:c r="G171" s="13" t="n">
        <x:v>86</x:v>
      </x:c>
      <x:c r="H171" s="15" t="n">
        <x:v>0.44949074074074075</x:v>
      </x:c>
      <x:c r="I171" s="17" t="n">
        <x:f>ROUND((H171-E171)*86400,0)</x:f>
        <x:v>10</x:v>
      </x:c>
      <x:c r="J171" s="16" t="str">
        <x:v>14590100</x:v>
      </x:c>
      <x:c r="K171" s="13" t="str">
        <x:v>No, no, no. $95, Sam. $95. That is not a [La Jefe?] move.</x:v>
      </x:c>
      <x:c r="L171" s="13" t="str">
        <x:v>It was just shy of 40.</x:v>
      </x:c>
      <x:c r="M171" s="13" t="str">
        <x:v>Transcript association</x:v>
      </x:c>
      <x:c r="N171" s="13" t="str">
        <x:v>Owner identifies the female reply as Sammantha J. Halladay. Full exchange wording remains unverified.</x:v>
      </x:c>
      <x:c r="O171" s="18" t="str">
        <x:v>Not reviewed</x:v>
      </x:c>
      <x:c r="P171" s="19" t="str">
        <x:v>https://afpd-accountability.com/records/openmhz/openmhz-afpd-car-to-car-2026-09-24/dcfems-6001-1790268426.m4a</x:v>
      </x:c>
      <x:c r="Q171" s="19" t="str">
        <x:v>https://afpd-accountability.com/records/openmhz/openmhz-afpd-car-to-car-2026-09-24/dcfems-6001-1790268436.m4a</x:v>
      </x:c>
      <x:c r="R171" s="19" t="str">
        <x:v>https://afpd-accountability.com/police-radio/?date=2026-09-24</x:v>
      </x:c>
      <x:c r="S171" s="13" t="n">
        <x:v>10</x:v>
      </x:c>
    </x:row>
    <x:row r="172" ht="60" customHeight="1">
      <x:c r="A172" s="13" t="str">
        <x:v>E165</x:v>
      </x:c>
      <x:c r="B172" s="13" t="str">
        <x:v>Gonzalez / David</x:v>
      </x:c>
      <x:c r="C172" s="14" t="n">
        <x:v>46289</x:v>
      </x:c>
      <x:c r="D172" s="13" t="n">
        <x:v>212</x:v>
      </x:c>
      <x:c r="E172" s="15" t="n">
        <x:v>0.7944791666666666</x:v>
      </x:c>
      <x:c r="F172" s="16" t="str">
        <x:v>14590073</x:v>
      </x:c>
      <x:c r="G172" s="13" t="n">
        <x:v>213</x:v>
      </x:c>
      <x:c r="H172" s="15" t="n">
        <x:v>0.7945717592592593</x:v>
      </x:c>
      <x:c r="I172" s="17" t="n">
        <x:f>ROUND((H172-E172)*86400,0)</x:f>
        <x:v>8</x:v>
      </x:c>
      <x:c r="J172" s="16" t="str">
        <x:v>14580152</x:v>
      </x:c>
      <x:c r="K172" s="13" t="str">
        <x:v>What's up, David?</x:v>
      </x:c>
      <x:c r="L172" s="13" t="str">
        <x:v>Can you do me a favor and ask if [Mario?] will be the [loss prevention?] guy?</x:v>
      </x:c>
      <x:c r="M172" s="13" t="str">
        <x:v>Transcript association</x:v>
      </x:c>
      <x:c r="N172" s="13" t="str"/>
      <x:c r="O172" s="18" t="str">
        <x:v>Not reviewed</x:v>
      </x:c>
      <x:c r="P172" s="19" t="str">
        <x:v>https://afpd-accountability.com/records/openmhz/openmhz-afpd-car-to-car-2026-09-24/dcfems-6001-1790298243.m4a</x:v>
      </x:c>
      <x:c r="Q172" s="19" t="str">
        <x:v>https://afpd-accountability.com/records/openmhz/openmhz-afpd-car-to-car-2026-09-24/dcfems-6001-1790298251.m4a</x:v>
      </x:c>
      <x:c r="R172" s="19" t="str">
        <x:v>https://afpd-accountability.com/police-radio/?date=2026-09-24</x:v>
      </x:c>
      <x:c r="S172" s="13" t="n">
        <x:v>8</x:v>
      </x:c>
    </x:row>
    <x:row r="173" ht="60" customHeight="1">
      <x:c r="A173" s="13" t="str">
        <x:v>E166</x:v>
      </x:c>
      <x:c r="B173" s="13" t="str">
        <x:v>Gonzalez / David</x:v>
      </x:c>
      <x:c r="C173" s="14" t="n">
        <x:v>46289</x:v>
      </x:c>
      <x:c r="D173" s="13" t="n">
        <x:v>218</x:v>
      </x:c>
      <x:c r="E173" s="15" t="n">
        <x:v>0.7981018518518519</x:v>
      </x:c>
      <x:c r="F173" s="16" t="str">
        <x:v>14590085</x:v>
      </x:c>
      <x:c r="G173" s="13" t="n">
        <x:v>219</x:v>
      </x:c>
      <x:c r="H173" s="15" t="n">
        <x:v>0.7981944444444444</x:v>
      </x:c>
      <x:c r="I173" s="17" t="n">
        <x:f>ROUND((H173-E173)*86400,0)</x:f>
        <x:v>8</x:v>
      </x:c>
      <x:c r="J173" s="16" t="str">
        <x:v>14580152</x:v>
      </x:c>
      <x:c r="K173" s="13" t="str">
        <x:v>David, you're my hero.</x:v>
      </x:c>
      <x:c r="L173" s="13" t="str">
        <x:v>Yeah.</x:v>
      </x:c>
      <x:c r="M173" s="13" t="str">
        <x:v>Transcript association</x:v>
      </x:c>
      <x:c r="N173" s="13" t="str"/>
      <x:c r="O173" s="18" t="str">
        <x:v>Not reviewed</x:v>
      </x:c>
      <x:c r="P173" s="19" t="str">
        <x:v>https://afpd-accountability.com/records/openmhz/openmhz-afpd-car-to-car-2026-09-24/dcfems-6001-1790298556.m4a</x:v>
      </x:c>
      <x:c r="Q173" s="19" t="str">
        <x:v>https://afpd-accountability.com/records/openmhz/openmhz-afpd-car-to-car-2026-09-24/dcfems-6001-1790298564.m4a</x:v>
      </x:c>
      <x:c r="R173" s="19" t="str">
        <x:v>https://afpd-accountability.com/police-radio/?date=2026-09-24</x:v>
      </x:c>
      <x:c r="S173" s="13" t="n">
        <x:v>8</x:v>
      </x:c>
    </x:row>
    <x:row r="174" ht="60" customHeight="1">
      <x:c r="A174" s="13" t="str">
        <x:v>E167</x:v>
      </x:c>
      <x:c r="B174" s="13" t="str">
        <x:v>Ron</x:v>
      </x:c>
      <x:c r="C174" s="14" t="n">
        <x:v>46289</x:v>
      </x:c>
      <x:c r="D174" s="13" t="n">
        <x:v>249</x:v>
      </x:c>
      <x:c r="E174" s="15" t="n">
        <x:v>0.8558449074074074</x:v>
      </x:c>
      <x:c r="F174" s="16" t="str">
        <x:v>14590114</x:v>
      </x:c>
      <x:c r="G174" s="13" t="n">
        <x:v>250</x:v>
      </x:c>
      <x:c r="H174" s="15" t="n">
        <x:v>0.855925925925926</x:v>
      </x:c>
      <x:c r="I174" s="17" t="n">
        <x:f>ROUND((H174-E174)*86400,0)</x:f>
        <x:v>7</x:v>
      </x:c>
      <x:c r="J174" s="16" t="str">
        <x:v>14590095</x:v>
      </x:c>
      <x:c r="K174" s="13" t="str">
        <x:v>Hey Ron, you need any other help over there?</x:v>
      </x:c>
      <x:c r="L174" s="13" t="str">
        <x:v>No, we're all wrapped up.</x:v>
      </x:c>
      <x:c r="M174" s="13" t="str">
        <x:v>Transcript association</x:v>
      </x:c>
      <x:c r="N174" s="13" t="str">
        <x:v>Ron could be a name, nickname, or a transcription of Bronson. Several distinct IDs appear; no roster identity assigned.</x:v>
      </x:c>
      <x:c r="O174" s="18" t="str">
        <x:v>Not reviewed</x:v>
      </x:c>
      <x:c r="P174" s="19" t="str">
        <x:v>https://afpd-accountability.com/records/openmhz/openmhz-afpd-car-to-car-2026-09-24/dcfems-6001-1790303545.m4a</x:v>
      </x:c>
      <x:c r="Q174" s="19" t="str">
        <x:v>https://afpd-accountability.com/records/openmhz/openmhz-afpd-car-to-car-2026-09-24/dcfems-6001-1790303552.m4a</x:v>
      </x:c>
      <x:c r="R174" s="19" t="str">
        <x:v>https://afpd-accountability.com/police-radio/?date=2026-09-24</x:v>
      </x:c>
      <x:c r="S174" s="13" t="n">
        <x:v>7</x:v>
      </x:c>
    </x:row>
    <x:row r="175" ht="60" customHeight="1">
      <x:c r="A175" s="13" t="str">
        <x:v>E168</x:v>
      </x:c>
      <x:c r="B175" s="13" t="str">
        <x:v>Somerville</x:v>
      </x:c>
      <x:c r="C175" s="14" t="n">
        <x:v>46289</x:v>
      </x:c>
      <x:c r="D175" s="13" t="n">
        <x:v>271</x:v>
      </x:c>
      <x:c r="E175" s="15" t="n">
        <x:v>0.8992013888888889</x:v>
      </x:c>
      <x:c r="F175" s="16" t="str">
        <x:v>14590095</x:v>
      </x:c>
      <x:c r="G175" s="13" t="n">
        <x:v>272</x:v>
      </x:c>
      <x:c r="H175" s="15" t="n">
        <x:v>0.8992939814814814</x:v>
      </x:c>
      <x:c r="I175" s="17" t="n">
        <x:f>ROUND((H175-E175)*86400,0)</x:f>
        <x:v>8</x:v>
      </x:c>
      <x:c r="J175" s="16" t="str">
        <x:v>14590073</x:v>
      </x:c>
      <x:c r="K175" s="13" t="str">
        <x:v>Give me another one, Somerville.</x:v>
      </x:c>
      <x:c r="L175" s="13" t="str">
        <x:v>I should be all right. She's being super cooperative. Her dad's gonna come pick her up, and then I'll do the inventory. I think [you/it?] should work out with timing if everybody else [is/isn't?] busy.</x:v>
      </x:c>
      <x:c r="M175" s="13" t="str">
        <x:v>Transcript association</x:v>
      </x:c>
      <x:c r="N175" s="13" t="str"/>
      <x:c r="O175" s="18" t="str">
        <x:v>Not reviewed</x:v>
      </x:c>
      <x:c r="P175" s="19" t="str">
        <x:v>https://afpd-accountability.com/records/openmhz/openmhz-afpd-car-to-car-2026-09-24/dcfems-6001-1790307291.m4a</x:v>
      </x:c>
      <x:c r="Q175" s="19" t="str">
        <x:v>https://afpd-accountability.com/records/openmhz/openmhz-afpd-car-to-car-2026-09-24/dcfems-6001-1790307299.m4a</x:v>
      </x:c>
      <x:c r="R175" s="19" t="str">
        <x:v>https://afpd-accountability.com/police-radio/?date=2026-09-24</x:v>
      </x:c>
      <x:c r="S175" s="13" t="n">
        <x:v>8</x:v>
      </x:c>
    </x:row>
    <x:row r="176" ht="60" customHeight="1">
      <x:c r="A176" s="13" t="str">
        <x:v>E169</x:v>
      </x:c>
      <x:c r="B176" s="13" t="str">
        <x:v>Somerville</x:v>
      </x:c>
      <x:c r="C176" s="14" t="n">
        <x:v>46289</x:v>
      </x:c>
      <x:c r="D176" s="13" t="n">
        <x:v>282</x:v>
      </x:c>
      <x:c r="E176" s="15" t="n">
        <x:v>0.945625</x:v>
      </x:c>
      <x:c r="F176" s="16" t="str">
        <x:v>14590037</x:v>
      </x:c>
      <x:c r="G176" s="13" t="n">
        <x:v>283</x:v>
      </x:c>
      <x:c r="H176" s="15" t="n">
        <x:v>0.9456712962962963</x:v>
      </x:c>
      <x:c r="I176" s="17" t="n">
        <x:f>ROUND((H176-E176)*86400,0)</x:f>
        <x:v>4</x:v>
      </x:c>
      <x:c r="J176" s="16" t="str">
        <x:v>14590073</x:v>
      </x:c>
      <x:c r="K176" s="13" t="str">
        <x:v>Aren't you [at?] In-N-Out, Somerville?</x:v>
      </x:c>
      <x:c r="L176" s="13" t="str">
        <x:v>Yeah, but I think everybody else is at the PD, so...</x:v>
      </x:c>
      <x:c r="M176" s="13" t="str">
        <x:v>Transcript association</x:v>
      </x:c>
      <x:c r="N176" s="13" t="str"/>
      <x:c r="O176" s="18" t="str">
        <x:v>Not reviewed</x:v>
      </x:c>
      <x:c r="P176" s="19" t="str">
        <x:v>https://afpd-accountability.com/records/openmhz/openmhz-afpd-car-to-car-2026-09-24/dcfems-6001-1790311302.m4a</x:v>
      </x:c>
      <x:c r="Q176" s="19" t="str">
        <x:v>https://afpd-accountability.com/records/openmhz/openmhz-afpd-car-to-car-2026-09-24/dcfems-6001-1790311306.m4a</x:v>
      </x:c>
      <x:c r="R176" s="19" t="str">
        <x:v>https://afpd-accountability.com/police-radio/?date=2026-09-24</x:v>
      </x:c>
      <x:c r="S176" s="13" t="n">
        <x:v>4</x:v>
      </x:c>
    </x:row>
    <x:row r="177" ht="60" customHeight="1">
      <x:c r="A177" s="13" t="str">
        <x:v>E170</x:v>
      </x:c>
      <x:c r="B177" s="13" t="str">
        <x:v>Somerville</x:v>
      </x:c>
      <x:c r="C177" s="14" t="n">
        <x:v>46289</x:v>
      </x:c>
      <x:c r="D177" s="13" t="n">
        <x:v>302</x:v>
      </x:c>
      <x:c r="E177" s="15" t="n">
        <x:v>0.9616550925925926</x:v>
      </x:c>
      <x:c r="F177" s="16" t="str">
        <x:v>14590085</x:v>
      </x:c>
      <x:c r="G177" s="13" t="n">
        <x:v>303</x:v>
      </x:c>
      <x:c r="H177" s="15" t="n">
        <x:v>0.9617708333333334</x:v>
      </x:c>
      <x:c r="I177" s="17" t="n">
        <x:f>ROUND((H177-E177)*86400,0)</x:f>
        <x:v>10</x:v>
      </x:c>
      <x:c r="J177" s="16" t="str">
        <x:v>14590042</x:v>
      </x:c>
      <x:c r="K177" s="13" t="str">
        <x:v>Somerville, starting to get busy down there yet?</x:v>
      </x:c>
      <x:c r="L177" s="13" t="str">
        <x:v>Yeah, it's pretty busy, but it's not as bad as the other week when we got called down here. I think most of the [Lone Peak?] kids showed up, saw how many AF kids there were, and left.</x:v>
      </x:c>
      <x:c r="M177" s="13" t="str">
        <x:v>Transcript association</x:v>
      </x:c>
      <x:c r="N177" s="13" t="str"/>
      <x:c r="O177" s="18" t="str">
        <x:v>Not reviewed</x:v>
      </x:c>
      <x:c r="P177" s="19" t="str">
        <x:v>https://afpd-accountability.com/records/openmhz/openmhz-afpd-car-to-car-2026-09-24/dcfems-6001-1790312687.m4a</x:v>
      </x:c>
      <x:c r="Q177" s="19" t="str">
        <x:v>https://afpd-accountability.com/records/openmhz/openmhz-afpd-car-to-car-2026-09-24/dcfems-6001-1790312697.m4a</x:v>
      </x:c>
      <x:c r="R177" s="19" t="str">
        <x:v>https://afpd-accountability.com/police-radio/?date=2026-09-24</x:v>
      </x:c>
      <x:c r="S177" s="13" t="n">
        <x:v>10</x:v>
      </x:c>
    </x:row>
    <x:row r="178" ht="60" customHeight="1">
      <x:c r="A178" s="13" t="str">
        <x:v>E171</x:v>
      </x:c>
      <x:c r="B178" s="13" t="str">
        <x:v>Gonzalez / David</x:v>
      </x:c>
      <x:c r="C178" s="14" t="n">
        <x:v>46289</x:v>
      </x:c>
      <x:c r="D178" s="13" t="n">
        <x:v>307</x:v>
      </x:c>
      <x:c r="E178" s="15" t="n">
        <x:v>0.9680208333333333</x:v>
      </x:c>
      <x:c r="F178" s="16" t="str">
        <x:v>14590037</x:v>
      </x:c>
      <x:c r="G178" s="13" t="n">
        <x:v>308</x:v>
      </x:c>
      <x:c r="H178" s="15" t="n">
        <x:v>0.9681481481481482</x:v>
      </x:c>
      <x:c r="I178" s="17" t="n">
        <x:f>ROUND((H178-E178)*86400,0)</x:f>
        <x:v>11</x:v>
      </x:c>
      <x:c r="J178" s="16" t="str">
        <x:v>14580152</x:v>
      </x:c>
      <x:c r="K178" s="13" t="str">
        <x:v>Hey [Gonzalez?], do you have that inside door open?</x:v>
      </x:c>
      <x:c r="L178" s="13" t="str">
        <x:v>[I love you now?]</x:v>
      </x:c>
      <x:c r="M178" s="13" t="str">
        <x:v>Transcript association</x:v>
      </x:c>
      <x:c r="N178" s="13" t="str"/>
      <x:c r="O178" s="18" t="str">
        <x:v>Not reviewed</x:v>
      </x:c>
      <x:c r="P178" s="19" t="str">
        <x:v>https://afpd-accountability.com/records/openmhz/openmhz-afpd-car-to-car-2026-09-24/dcfems-6001-1790313237.m4a</x:v>
      </x:c>
      <x:c r="Q178" s="19" t="str">
        <x:v>https://afpd-accountability.com/records/openmhz/openmhz-afpd-car-to-car-2026-09-24/dcfems-6001-1790313248.m4a</x:v>
      </x:c>
      <x:c r="R178" s="19" t="str">
        <x:v>https://afpd-accountability.com/police-radio/?date=2026-09-24</x:v>
      </x:c>
      <x:c r="S178" s="13" t="n">
        <x:v>11</x:v>
      </x:c>
    </x:row>
    <x:row r="179" ht="60" customHeight="1">
      <x:c r="A179" s="13" t="str">
        <x:v>E172</x:v>
      </x:c>
      <x:c r="B179" s="13" t="str">
        <x:v>Mason</x:v>
      </x:c>
      <x:c r="C179" s="14" t="n">
        <x:v>46290</x:v>
      </x:c>
      <x:c r="D179" s="13" t="n">
        <x:v>89</x:v>
      </x:c>
      <x:c r="E179" s="15" t="n">
        <x:v>0.557025462962963</x:v>
      </x:c>
      <x:c r="F179" s="16" t="str">
        <x:v>14590066</x:v>
      </x:c>
      <x:c r="G179" s="13" t="n">
        <x:v>90</x:v>
      </x:c>
      <x:c r="H179" s="15" t="n">
        <x:v>0.5571296296296296</x:v>
      </x:c>
      <x:c r="I179" s="17" t="n">
        <x:f>ROUND((H179-E179)*86400,0)</x:f>
        <x:v>9</x:v>
      </x:c>
      <x:c r="J179" s="16" t="str">
        <x:v>14590237</x:v>
      </x:c>
      <x:c r="K179" s="13" t="str">
        <x:v>[Mason?], [do you copy that?]</x:v>
      </x:c>
      <x:c r="L179" s="13" t="str">
        <x:v>Yeah, copy.</x:v>
      </x:c>
      <x:c r="M179" s="13" t="str">
        <x:v>Transcript association</x:v>
      </x:c>
      <x:c r="N179" s="13" t="str"/>
      <x:c r="O179" s="18" t="str">
        <x:v>Not reviewed</x:v>
      </x:c>
      <x:c r="P179" s="19" t="str">
        <x:v>https://afpd-accountability.com/records/openmhz/openmhz-afpd-car-to-car-2026-09-25/dcfems-6001-1790364127.m4a</x:v>
      </x:c>
      <x:c r="Q179" s="19" t="str">
        <x:v>https://afpd-accountability.com/records/openmhz/openmhz-afpd-car-to-car-2026-09-25/dcfems-6001-1790364136.m4a</x:v>
      </x:c>
      <x:c r="R179" s="19" t="str">
        <x:v>https://afpd-accountability.com/police-radio/?date=2026-09-25</x:v>
      </x:c>
      <x:c r="S179" s="13" t="n">
        <x:v>9</x:v>
      </x:c>
    </x:row>
    <x:row r="180" ht="60" customHeight="1">
      <x:c r="A180" s="13" t="str">
        <x:v>E173</x:v>
      </x:c>
      <x:c r="B180" s="13" t="str">
        <x:v>Heaton / Colby</x:v>
      </x:c>
      <x:c r="C180" s="14" t="n">
        <x:v>46290</x:v>
      </x:c>
      <x:c r="D180" s="13" t="n">
        <x:v>130</x:v>
      </x:c>
      <x:c r="E180" s="15" t="n">
        <x:v>0.5999189814814815</x:v>
      </x:c>
      <x:c r="F180" s="16" t="str">
        <x:v>14590066</x:v>
      </x:c>
      <x:c r="G180" s="13" t="n">
        <x:v>131</x:v>
      </x:c>
      <x:c r="H180" s="15" t="n">
        <x:v>0.6</x:v>
      </x:c>
      <x:c r="I180" s="17" t="n">
        <x:f>ROUND((H180-E180)*86400,0)</x:f>
        <x:v>7</x:v>
      </x:c>
      <x:c r="J180" s="16" t="str">
        <x:v>14590091</x:v>
      </x:c>
      <x:c r="K180" s="13" t="str">
        <x:v>Hey [Heaton?], [are you] closer to that accident?</x:v>
      </x:c>
      <x:c r="L180" s="13" t="str">
        <x:v>Pretty close. I'm on [unclear street].</x:v>
      </x:c>
      <x:c r="M180" s="13" t="str">
        <x:v>Transcript association</x:v>
      </x:c>
      <x:c r="N180" s="13" t="str">
        <x:v>Includes both Heaton and Colby hails. 14590100 also answers Sam; 14590091 answers other names. Officer/crew assignment is unresolved.</x:v>
      </x:c>
      <x:c r="O180" s="18" t="str">
        <x:v>Not reviewed</x:v>
      </x:c>
      <x:c r="P180" s="19" t="str">
        <x:v>https://afpd-accountability.com/records/openmhz/openmhz-afpd-car-to-car-2026-09-25/dcfems-6001-1790367833.m4a</x:v>
      </x:c>
      <x:c r="Q180" s="19" t="str">
        <x:v>https://afpd-accountability.com/records/openmhz/openmhz-afpd-car-to-car-2026-09-25/dcfems-6001-1790367840.m4a</x:v>
      </x:c>
      <x:c r="R180" s="19" t="str">
        <x:v>https://afpd-accountability.com/police-radio/?date=2026-09-25</x:v>
      </x:c>
      <x:c r="S180" s="13" t="n">
        <x:v>7</x:v>
      </x:c>
    </x:row>
    <x:row r="181" ht="60" customHeight="1">
      <x:c r="A181" s="13" t="str">
        <x:v>E174</x:v>
      </x:c>
      <x:c r="B181" s="13" t="str">
        <x:v>Renter</x:v>
      </x:c>
      <x:c r="C181" s="14" t="n">
        <x:v>46290</x:v>
      </x:c>
      <x:c r="D181" s="13" t="n">
        <x:v>151</x:v>
      </x:c>
      <x:c r="E181" s="15" t="n">
        <x:v>0.6170949074074074</x:v>
      </x:c>
      <x:c r="F181" s="16" t="str">
        <x:v>14590315</x:v>
      </x:c>
      <x:c r="G181" s="13" t="n">
        <x:v>152</x:v>
      </x:c>
      <x:c r="H181" s="15" t="n">
        <x:v>0.6171527777777778</x:v>
      </x:c>
      <x:c r="I181" s="17" t="n">
        <x:f>ROUND((H181-E181)*86400,0)</x:f>
        <x:v>5</x:v>
      </x:c>
      <x:c r="J181" s="16" t="str">
        <x:v>14590087</x:v>
      </x:c>
      <x:c r="K181" s="13" t="str">
        <x:v>Hey [Rencher?], I'm gonna go [21?] with [our view?] first.</x:v>
      </x:c>
      <x:c r="L181" s="13" t="str">
        <x:v>I'm in the area just catching up on some reports. Just let me know.</x:v>
      </x:c>
      <x:c r="M181" s="13" t="str">
        <x:v>Transcript association</x:v>
      </x:c>
      <x:c r="N181" s="13" t="str"/>
      <x:c r="O181" s="18" t="str">
        <x:v>Not reviewed</x:v>
      </x:c>
      <x:c r="P181" s="19" t="str">
        <x:v>https://afpd-accountability.com/records/openmhz/openmhz-afpd-car-to-car-2026-09-25/dcfems-6001-1790369317.m4a</x:v>
      </x:c>
      <x:c r="Q181" s="19" t="str">
        <x:v>https://afpd-accountability.com/records/openmhz/openmhz-afpd-car-to-car-2026-09-25/dcfems-6001-1790369322.m4a</x:v>
      </x:c>
      <x:c r="R181" s="19" t="str">
        <x:v>https://afpd-accountability.com/police-radio/?date=2026-09-25</x:v>
      </x:c>
      <x:c r="S181" s="13" t="n">
        <x:v>5</x:v>
      </x:c>
    </x:row>
    <x:row r="182" ht="60" customHeight="1">
      <x:c r="A182" s="13" t="str">
        <x:v>E175</x:v>
      </x:c>
      <x:c r="B182" s="13" t="str">
        <x:v>Heaton / Colby</x:v>
      </x:c>
      <x:c r="C182" s="14" t="n">
        <x:v>46290</x:v>
      </x:c>
      <x:c r="D182" s="13" t="n">
        <x:v>184</x:v>
      </x:c>
      <x:c r="E182" s="15" t="n">
        <x:v>0.642800925925926</x:v>
      </x:c>
      <x:c r="F182" s="16" t="str">
        <x:v>14590066</x:v>
      </x:c>
      <x:c r="G182" s="13" t="n">
        <x:v>185</x:v>
      </x:c>
      <x:c r="H182" s="15" t="n">
        <x:v>0.6429050925925925</x:v>
      </x:c>
      <x:c r="I182" s="17" t="n">
        <x:f>ROUND((H182-E182)*86400,0)</x:f>
        <x:v>9</x:v>
      </x:c>
      <x:c r="J182" s="16" t="str">
        <x:v>14590091</x:v>
      </x:c>
      <x:c r="K182" s="13" t="str">
        <x:v>Hey [Colby?], do you guys have eyes on the vehicle?</x:v>
      </x:c>
      <x:c r="L182" s="13" t="str">
        <x:v>Negative.</x:v>
      </x:c>
      <x:c r="M182" s="13" t="str">
        <x:v>Transcript association</x:v>
      </x:c>
      <x:c r="N182" s="13" t="str">
        <x:v>Includes both Heaton and Colby hails. 14590100 also answers Sam; 14590091 answers other names. Officer/crew assignment is unresolved.</x:v>
      </x:c>
      <x:c r="O182" s="18" t="str">
        <x:v>Not reviewed</x:v>
      </x:c>
      <x:c r="P182" s="19" t="str">
        <x:v>https://afpd-accountability.com/records/openmhz/openmhz-afpd-car-to-car-2026-09-25/dcfems-6001-1790371538.m4a</x:v>
      </x:c>
      <x:c r="Q182" s="19" t="str">
        <x:v>https://afpd-accountability.com/records/openmhz/openmhz-afpd-car-to-car-2026-09-25/dcfems-6001-1790371547.m4a</x:v>
      </x:c>
      <x:c r="R182" s="19" t="str">
        <x:v>https://afpd-accountability.com/police-radio/?date=2026-09-25</x:v>
      </x:c>
      <x:c r="S182" s="13" t="n">
        <x:v>9</x:v>
      </x:c>
    </x:row>
    <x:row r="183" ht="60" customHeight="1">
      <x:c r="A183" s="13" t="str">
        <x:v>E176</x:v>
      </x:c>
      <x:c r="B183" s="13" t="str">
        <x:v>Mason</x:v>
      </x:c>
      <x:c r="C183" s="14" t="n">
        <x:v>46290</x:v>
      </x:c>
      <x:c r="D183" s="13" t="n">
        <x:v>202</x:v>
      </x:c>
      <x:c r="E183" s="15" t="n">
        <x:v>0.648900462962963</x:v>
      </x:c>
      <x:c r="F183" s="16" t="str">
        <x:v>14590087</x:v>
      </x:c>
      <x:c r="G183" s="13" t="n">
        <x:v>203</x:v>
      </x:c>
      <x:c r="H183" s="15" t="n">
        <x:v>0.6490393518518518</x:v>
      </x:c>
      <x:c r="I183" s="17" t="n">
        <x:f>ROUND((H183-E183)*86400,0)</x:f>
        <x:v>12</x:v>
      </x:c>
      <x:c r="J183" s="16" t="str">
        <x:v>14590237</x:v>
      </x:c>
      <x:c r="K183" s="13" t="str">
        <x:v>[Mason?], do you want me to go do a lethality assessment with your suspect or your victim?</x:v>
      </x:c>
      <x:c r="L183" s="13" t="str">
        <x:v>Stand by. She went to go pick up her other kid. She'll be back before four.</x:v>
      </x:c>
      <x:c r="M183" s="13" t="str">
        <x:v>Transcript association</x:v>
      </x:c>
      <x:c r="N183" s="13" t="str"/>
      <x:c r="O183" s="18" t="str">
        <x:v>Not reviewed</x:v>
      </x:c>
      <x:c r="P183" s="19" t="str">
        <x:v>https://afpd-accountability.com/records/openmhz/openmhz-afpd-car-to-car-2026-09-25/dcfems-6001-1790372065.m4a</x:v>
      </x:c>
      <x:c r="Q183" s="19" t="str">
        <x:v>https://afpd-accountability.com/records/openmhz/openmhz-afpd-car-to-car-2026-09-25/dcfems-6001-1790372077.m4a</x:v>
      </x:c>
      <x:c r="R183" s="19" t="str">
        <x:v>https://afpd-accountability.com/police-radio/?date=2026-09-25</x:v>
      </x:c>
      <x:c r="S183" s="13" t="n">
        <x:v>12</x:v>
      </x:c>
    </x:row>
    <x:row r="184" ht="60" customHeight="1">
      <x:c r="A184" s="13" t="str">
        <x:v>E177</x:v>
      </x:c>
      <x:c r="B184" s="13" t="str">
        <x:v>Makai / Kelepi</x:v>
      </x:c>
      <x:c r="C184" s="14" t="n">
        <x:v>46290</x:v>
      </x:c>
      <x:c r="D184" s="13" t="n">
        <x:v>214</x:v>
      </x:c>
      <x:c r="E184" s="15" t="n">
        <x:v>0.7394444444444445</x:v>
      </x:c>
      <x:c r="F184" s="16" t="str">
        <x:v>14590044</x:v>
      </x:c>
      <x:c r="G184" s="13" t="n">
        <x:v>215</x:v>
      </x:c>
      <x:c r="H184" s="15" t="n">
        <x:v>0.7394907407407407</x:v>
      </x:c>
      <x:c r="I184" s="17" t="n">
        <x:f>ROUND((H184-E184)*86400,0)</x:f>
        <x:v>4</x:v>
      </x:c>
      <x:c r="J184" s="16" t="str">
        <x:v>14590247</x:v>
      </x:c>
      <x:c r="K184" s="13" t="str">
        <x:v>Hey Makai, you in here?</x:v>
      </x:c>
      <x:c r="L184" s="13" t="str">
        <x:v>Yeah, what's up?</x:v>
      </x:c>
      <x:c r="M184" s="13" t="str">
        <x:v>Transcript association</x:v>
      </x:c>
      <x:c r="N184" s="13" t="str">
        <x:v>Owner confirmed Makai spelling on October 23. Reply not independently reviewed.</x:v>
      </x:c>
      <x:c r="O184" s="18" t="str">
        <x:v>Not reviewed</x:v>
      </x:c>
      <x:c r="P184" s="19" t="str">
        <x:v>https://afpd-accountability.com/records/openmhz/openmhz-afpd-car-to-car-2026-09-25/dcfems-6001-1790379888.m4a</x:v>
      </x:c>
      <x:c r="Q184" s="19" t="str">
        <x:v>https://afpd-accountability.com/records/openmhz/openmhz-afpd-car-to-car-2026-09-25/dcfems-6001-1790379892.m4a</x:v>
      </x:c>
      <x:c r="R184" s="19" t="str">
        <x:v>https://afpd-accountability.com/police-radio/?date=2026-09-25</x:v>
      </x:c>
      <x:c r="S184" s="13" t="n">
        <x:v>4</x:v>
      </x:c>
    </x:row>
    <x:row r="185" ht="60" customHeight="1">
      <x:c r="A185" s="13" t="str">
        <x:v>E178</x:v>
      </x:c>
      <x:c r="B185" s="13" t="str">
        <x:v>Mitch</x:v>
      </x:c>
      <x:c r="C185" s="14" t="n">
        <x:v>46290</x:v>
      </x:c>
      <x:c r="D185" s="13" t="n">
        <x:v>224</x:v>
      </x:c>
      <x:c r="E185" s="15" t="n">
        <x:v>0.8045023148148148</x:v>
      </x:c>
      <x:c r="F185" s="16" t="str">
        <x:v>14590313</x:v>
      </x:c>
      <x:c r="G185" s="13" t="n">
        <x:v>225</x:v>
      </x:c>
      <x:c r="H185" s="15" t="n">
        <x:v>0.8045486111111111</x:v>
      </x:c>
      <x:c r="I185" s="17" t="n">
        <x:f>ROUND((H185-E185)*86400,0)</x:f>
        <x:v>4</x:v>
      </x:c>
      <x:c r="J185" s="16" t="str">
        <x:v>14590344</x:v>
      </x:c>
      <x:c r="K185" s="13" t="str">
        <x:v>Hey [Mitch?], are you on here?</x:v>
      </x:c>
      <x:c r="L185" s="13" t="str">
        <x:v>Yeah. [Go ahead?]</x:v>
      </x:c>
      <x:c r="M185" s="13" t="str">
        <x:v>Transcript association</x:v>
      </x:c>
      <x:c r="N185" s="13" t="str">
        <x:v>14590036 also answers Hawkins. Keep 14590344 separate from 14590036 pending audio and assignment confirmation.</x:v>
      </x:c>
      <x:c r="O185" s="18" t="str">
        <x:v>Not reviewed</x:v>
      </x:c>
      <x:c r="P185" s="19" t="str">
        <x:v>https://afpd-accountability.com/records/openmhz/openmhz-afpd-car-to-car-2026-09-25/dcfems-6001-1790385509.m4a</x:v>
      </x:c>
      <x:c r="Q185" s="19" t="str">
        <x:v>https://afpd-accountability.com/records/openmhz/openmhz-afpd-car-to-car-2026-09-25/dcfems-6001-1790385513.m4a</x:v>
      </x:c>
      <x:c r="R185" s="19" t="str">
        <x:v>https://afpd-accountability.com/police-radio/?date=2026-09-25</x:v>
      </x:c>
      <x:c r="S185" s="13" t="n">
        <x:v>4</x:v>
      </x:c>
    </x:row>
    <x:row r="186" ht="60" customHeight="1">
      <x:c r="A186" s="13" t="str">
        <x:v>E179</x:v>
      </x:c>
      <x:c r="B186" s="13" t="str">
        <x:v>Tonga</x:v>
      </x:c>
      <x:c r="C186" s="14" t="n">
        <x:v>46290</x:v>
      </x:c>
      <x:c r="D186" s="13" t="n">
        <x:v>229</x:v>
      </x:c>
      <x:c r="E186" s="15" t="n">
        <x:v>0.8373958333333333</x:v>
      </x:c>
      <x:c r="F186" s="16" t="str">
        <x:v>14590344</x:v>
      </x:c>
      <x:c r="G186" s="13" t="n">
        <x:v>230</x:v>
      </x:c>
      <x:c r="H186" s="15" t="n">
        <x:v>0.8374421296296296</x:v>
      </x:c>
      <x:c r="I186" s="17" t="n">
        <x:f>ROUND((H186-E186)*86400,0)</x:f>
        <x:v>4</x:v>
      </x:c>
      <x:c r="J186" s="16" t="str">
        <x:v>14590345</x:v>
      </x:c>
      <x:c r="K186" s="13" t="str">
        <x:v>Hey [Tonga?], are you still there?</x:v>
      </x:c>
      <x:c r="L186" s="13" t="str">
        <x:v>Yeah, [we’ll do it / we’re done?].</x:v>
      </x:c>
      <x:c r="M186" s="13" t="str">
        <x:v>Transcript association</x:v>
      </x:c>
      <x:c r="N186" s="13" t="str"/>
      <x:c r="O186" s="18" t="str">
        <x:v>Not reviewed</x:v>
      </x:c>
      <x:c r="P186" s="19" t="str">
        <x:v>https://afpd-accountability.com/records/openmhz/openmhz-afpd-car-to-car-2026-09-25/dcfems-6001-1790388351.m4a</x:v>
      </x:c>
      <x:c r="Q186" s="19" t="str">
        <x:v>https://afpd-accountability.com/records/openmhz/openmhz-afpd-car-to-car-2026-09-25/dcfems-6001-1790388355.m4a</x:v>
      </x:c>
      <x:c r="R186" s="19" t="str">
        <x:v>https://afpd-accountability.com/police-radio/?date=2026-09-25</x:v>
      </x:c>
      <x:c r="S186" s="13" t="n">
        <x:v>4</x:v>
      </x:c>
    </x:row>
    <x:row r="187" ht="60" customHeight="1">
      <x:c r="A187" s="13" t="str">
        <x:v>E180</x:v>
      </x:c>
      <x:c r="B187" s="13" t="str">
        <x:v>Tonga</x:v>
      </x:c>
      <x:c r="C187" s="14" t="n">
        <x:v>46291</x:v>
      </x:c>
      <x:c r="D187" s="13" t="n">
        <x:v>10</x:v>
      </x:c>
      <x:c r="E187" s="15" t="n">
        <x:v>0.016354166666666666</x:v>
      </x:c>
      <x:c r="F187" s="16" t="str">
        <x:v>14590026</x:v>
      </x:c>
      <x:c r="G187" s="13" t="n">
        <x:v>11</x:v>
      </x:c>
      <x:c r="H187" s="15" t="n">
        <x:v>0.016435185185185185</x:v>
      </x:c>
      <x:c r="I187" s="17" t="n">
        <x:f>ROUND((H187-E187)*86400,0)</x:f>
        <x:v>7</x:v>
      </x:c>
      <x:c r="J187" s="16" t="str">
        <x:v>14590345</x:v>
      </x:c>
      <x:c r="K187" s="13" t="str">
        <x:v>Hey, [Tonya/Tonga?].</x:v>
      </x:c>
      <x:c r="L187" s="13" t="str">
        <x:v>[Unclear acknowledgment: “Do it” / “Got it”?]</x:v>
      </x:c>
      <x:c r="M187" s="13" t="str">
        <x:v>Transcript association</x:v>
      </x:c>
      <x:c r="N187" s="13" t="str"/>
      <x:c r="O187" s="18" t="str">
        <x:v>Not reviewed</x:v>
      </x:c>
      <x:c r="P187" s="19" t="str">
        <x:v>https://afpd-accountability.com/records/openmhz/openmhz-afpd-car-to-car-2026-09-26/dcfems-6001-1790403813.m4a</x:v>
      </x:c>
      <x:c r="Q187" s="19" t="str">
        <x:v>https://afpd-accountability.com/records/openmhz/openmhz-afpd-car-to-car-2026-09-26/dcfems-6001-1790403820.m4a</x:v>
      </x:c>
      <x:c r="R187" s="19" t="str">
        <x:v>https://afpd-accountability.com/police-radio/?date=2026-09-26</x:v>
      </x:c>
      <x:c r="S187" s="13" t="n">
        <x:v>7</x:v>
      </x:c>
    </x:row>
    <x:row r="188" ht="60" customHeight="1">
      <x:c r="A188" s="13" t="str">
        <x:v>E181</x:v>
      </x:c>
      <x:c r="B188" s="13" t="str">
        <x:v>Tonga</x:v>
      </x:c>
      <x:c r="C188" s="14" t="n">
        <x:v>46291</x:v>
      </x:c>
      <x:c r="D188" s="13" t="n">
        <x:v>15</x:v>
      </x:c>
      <x:c r="E188" s="15" t="n">
        <x:v>0.017893518518518517</x:v>
      </x:c>
      <x:c r="F188" s="16" t="str">
        <x:v>14590313</x:v>
      </x:c>
      <x:c r="G188" s="13" t="n">
        <x:v>16</x:v>
      </x:c>
      <x:c r="H188" s="15" t="n">
        <x:v>0.017974537037037035</x:v>
      </x:c>
      <x:c r="I188" s="17" t="n">
        <x:f>ROUND((H188-E188)*86400,0)</x:f>
        <x:v>7</x:v>
      </x:c>
      <x:c r="J188" s="16" t="str">
        <x:v>14590345</x:v>
      </x:c>
      <x:c r="K188" s="13" t="str">
        <x:v>Hey [Tonga?], what’s your 20? I’m about two [mikes?] out.</x:v>
      </x:c>
      <x:c r="L188" s="13" t="str">
        <x:v>[800 North, 100 East?].</x:v>
      </x:c>
      <x:c r="M188" s="13" t="str">
        <x:v>Transcript association</x:v>
      </x:c>
      <x:c r="N188" s="13" t="str"/>
      <x:c r="O188" s="18" t="str">
        <x:v>Not reviewed</x:v>
      </x:c>
      <x:c r="P188" s="19" t="str">
        <x:v>https://afpd-accountability.com/records/openmhz/openmhz-afpd-car-to-car-2026-09-26/dcfems-6001-1790403946.m4a</x:v>
      </x:c>
      <x:c r="Q188" s="19" t="str">
        <x:v>https://afpd-accountability.com/records/openmhz/openmhz-afpd-car-to-car-2026-09-26/dcfems-6001-1790403953.m4a</x:v>
      </x:c>
      <x:c r="R188" s="19" t="str">
        <x:v>https://afpd-accountability.com/police-radio/?date=2026-09-26</x:v>
      </x:c>
      <x:c r="S188" s="13" t="n">
        <x:v>7</x:v>
      </x:c>
    </x:row>
    <x:row r="189" ht="60" customHeight="1">
      <x:c r="A189" s="13" t="str">
        <x:v>E182</x:v>
      </x:c>
      <x:c r="B189" s="13" t="str">
        <x:v>Somerville</x:v>
      </x:c>
      <x:c r="C189" s="14" t="n">
        <x:v>46291</x:v>
      </x:c>
      <x:c r="D189" s="13" t="n">
        <x:v>41</x:v>
      </x:c>
      <x:c r="E189" s="15" t="n">
        <x:v>0.04332175925925926</x:v>
      </x:c>
      <x:c r="F189" s="16" t="str">
        <x:v>14590344</x:v>
      </x:c>
      <x:c r="G189" s="13" t="n">
        <x:v>42</x:v>
      </x:c>
      <x:c r="H189" s="15" t="n">
        <x:v>0.04346064814814815</x:v>
      </x:c>
      <x:c r="I189" s="17" t="n">
        <x:f>ROUND((H189-E189)*86400,0)</x:f>
        <x:v>12</x:v>
      </x:c>
      <x:c r="J189" s="16" t="str">
        <x:v>14590073</x:v>
      </x:c>
      <x:c r="K189" s="13" t="str">
        <x:v>Yeah, I’d say just give it like ten minutes max, Somerville, and then we can [jam/check/chat?].</x:v>
      </x:c>
      <x:c r="L189" s="13" t="str">
        <x:v>Sounds good.</x:v>
      </x:c>
      <x:c r="M189" s="13" t="str">
        <x:v>Transcript association</x:v>
      </x:c>
      <x:c r="N189" s="13" t="str"/>
      <x:c r="O189" s="18" t="str">
        <x:v>Not reviewed</x:v>
      </x:c>
      <x:c r="P189" s="19" t="str">
        <x:v>https://afpd-accountability.com/records/openmhz/openmhz-afpd-car-to-car-2026-09-26/dcfems-6001-1790406143.m4a</x:v>
      </x:c>
      <x:c r="Q189" s="19" t="str">
        <x:v>https://afpd-accountability.com/records/openmhz/openmhz-afpd-car-to-car-2026-09-26/dcfems-6001-1790406155.m4a</x:v>
      </x:c>
      <x:c r="R189" s="19" t="str">
        <x:v>https://afpd-accountability.com/police-radio/?date=2026-09-26</x:v>
      </x:c>
      <x:c r="S189" s="13" t="n">
        <x:v>12</x:v>
      </x:c>
    </x:row>
    <x:row r="190" ht="60" customHeight="1">
      <x:c r="A190" s="13" t="str">
        <x:v>E183</x:v>
      </x:c>
      <x:c r="B190" s="13" t="str">
        <x:v>Tonga</x:v>
      </x:c>
      <x:c r="C190" s="14" t="n">
        <x:v>46291</x:v>
      </x:c>
      <x:c r="D190" s="13" t="n">
        <x:v>75</x:v>
      </x:c>
      <x:c r="E190" s="15" t="n">
        <x:v>0.24594907407407407</x:v>
      </x:c>
      <x:c r="F190" s="16" t="str">
        <x:v>14590111</x:v>
      </x:c>
      <x:c r="G190" s="13" t="n">
        <x:v>76</x:v>
      </x:c>
      <x:c r="H190" s="15" t="n">
        <x:v>0.24599537037037036</x:v>
      </x:c>
      <x:c r="I190" s="17" t="n">
        <x:f>ROUND((H190-E190)*86400,0)</x:f>
        <x:v>4</x:v>
      </x:c>
      <x:c r="J190" s="16" t="str">
        <x:v>14590038</x:v>
      </x:c>
      <x:c r="K190" s="13" t="str">
        <x:v>[Tango / Tonga?], confirming you said you found someone.</x:v>
      </x:c>
      <x:c r="L190" s="13" t="str">
        <x:v>Yeah, they're laying down with a bunch of belongings on the north side of Central.</x:v>
      </x:c>
      <x:c r="M190" s="13" t="str">
        <x:v>Transcript association</x:v>
      </x:c>
      <x:c r="N190" s="13" t="str"/>
      <x:c r="O190" s="18" t="str">
        <x:v>Not reviewed</x:v>
      </x:c>
      <x:c r="P190" s="19" t="str">
        <x:v>https://afpd-accountability.com/records/openmhz/openmhz-afpd-car-to-car-2026-09-26/dcfems-6001-1790423650.m4a</x:v>
      </x:c>
      <x:c r="Q190" s="19" t="str">
        <x:v>https://afpd-accountability.com/records/openmhz/openmhz-afpd-car-to-car-2026-09-26/dcfems-6001-1790423654.m4a</x:v>
      </x:c>
      <x:c r="R190" s="19" t="str">
        <x:v>https://afpd-accountability.com/police-radio/?date=2026-09-26</x:v>
      </x:c>
      <x:c r="S190" s="13" t="n">
        <x:v>4</x:v>
      </x:c>
    </x:row>
    <x:row r="191" ht="60" customHeight="1">
      <x:c r="A191" s="13" t="str">
        <x:v>E184</x:v>
      </x:c>
      <x:c r="B191" s="13" t="str">
        <x:v>Diego / Garcia</x:v>
      </x:c>
      <x:c r="C191" s="14" t="n">
        <x:v>46291</x:v>
      </x:c>
      <x:c r="D191" s="13" t="n">
        <x:v>127</x:v>
      </x:c>
      <x:c r="E191" s="15" t="n">
        <x:v>0.4524074074074074</x:v>
      </x:c>
      <x:c r="F191" s="16" t="str">
        <x:v>14590084</x:v>
      </x:c>
      <x:c r="G191" s="13" t="n">
        <x:v>128</x:v>
      </x:c>
      <x:c r="H191" s="15" t="n">
        <x:v>0.45251157407407405</x:v>
      </x:c>
      <x:c r="I191" s="17" t="n">
        <x:f>ROUND((H191-E191)*86400,0)</x:f>
        <x:v>9</x:v>
      </x:c>
      <x:c r="J191" s="16" t="str">
        <x:v>14590111</x:v>
      </x:c>
      <x:c r="K191" s="13" t="str">
        <x:v>[Diego?], did you want me to take the mental subject or did you need help with it?</x:v>
      </x:c>
      <x:c r="L191" s="13" t="str">
        <x:v>I mean I'm going to head up there with you. I think two of us should be there. If you want to take it, that's fine.</x:v>
      </x:c>
      <x:c r="M191" s="13" t="str">
        <x:v>Transcript association</x:v>
      </x:c>
      <x:c r="N191" s="13" t="str"/>
      <x:c r="O191" s="18" t="str">
        <x:v>Not reviewed</x:v>
      </x:c>
      <x:c r="P191" s="19" t="str">
        <x:v>https://afpd-accountability.com/records/openmhz/openmhz-afpd-car-to-car-2026-09-26/dcfems-6001-1790441488.m4a</x:v>
      </x:c>
      <x:c r="Q191" s="19" t="str">
        <x:v>https://afpd-accountability.com/records/openmhz/openmhz-afpd-car-to-car-2026-09-26/dcfems-6001-1790441497.m4a</x:v>
      </x:c>
      <x:c r="R191" s="19" t="str">
        <x:v>https://afpd-accountability.com/police-radio/?date=2026-09-26</x:v>
      </x:c>
      <x:c r="S191" s="13" t="n">
        <x:v>9</x:v>
      </x:c>
    </x:row>
    <x:row r="192" ht="60" customHeight="1">
      <x:c r="A192" s="13" t="str">
        <x:v>E185</x:v>
      </x:c>
      <x:c r="B192" s="13" t="str">
        <x:v>Diego / Garcia</x:v>
      </x:c>
      <x:c r="C192" s="14" t="n">
        <x:v>46291</x:v>
      </x:c>
      <x:c r="D192" s="13" t="n">
        <x:v>165</x:v>
      </x:c>
      <x:c r="E192" s="15" t="n">
        <x:v>0.512662037037037</x:v>
      </x:c>
      <x:c r="F192" s="16" t="str">
        <x:v>14590315</x:v>
      </x:c>
      <x:c r="G192" s="13" t="n">
        <x:v>166</x:v>
      </x:c>
      <x:c r="H192" s="15" t="n">
        <x:v>0.5126967592592593</x:v>
      </x:c>
      <x:c r="I192" s="17" t="n">
        <x:f>ROUND((H192-E192)*86400,0)</x:f>
        <x:v>3</x:v>
      </x:c>
      <x:c r="J192" s="16" t="str">
        <x:v>14590111</x:v>
      </x:c>
      <x:c r="K192" s="13" t="str">
        <x:v>[Diego?], how far out are you?</x:v>
      </x:c>
      <x:c r="L192" s="13" t="str">
        <x:v>The train gates just opened up from 500 west to 200 south right now.</x:v>
      </x:c>
      <x:c r="M192" s="13" t="str">
        <x:v>Transcript association</x:v>
      </x:c>
      <x:c r="N192" s="13" t="str"/>
      <x:c r="O192" s="18" t="str">
        <x:v>Not reviewed</x:v>
      </x:c>
      <x:c r="P192" s="19" t="str">
        <x:v>https://afpd-accountability.com/records/openmhz/openmhz-afpd-car-to-car-2026-09-26/dcfems-6001-1790446694.m4a</x:v>
      </x:c>
      <x:c r="Q192" s="19" t="str">
        <x:v>https://afpd-accountability.com/records/openmhz/openmhz-afpd-car-to-car-2026-09-26/dcfems-6001-1790446697.m4a</x:v>
      </x:c>
      <x:c r="R192" s="19" t="str">
        <x:v>https://afpd-accountability.com/police-radio/?date=2026-09-26</x:v>
      </x:c>
      <x:c r="S192" s="13" t="n">
        <x:v>3</x:v>
      </x:c>
    </x:row>
    <x:row r="193" ht="60" customHeight="1">
      <x:c r="A193" s="13" t="str">
        <x:v>E186</x:v>
      </x:c>
      <x:c r="B193" s="13" t="str">
        <x:v>Renter</x:v>
      </x:c>
      <x:c r="C193" s="14" t="n">
        <x:v>46291</x:v>
      </x:c>
      <x:c r="D193" s="13" t="n">
        <x:v>176</x:v>
      </x:c>
      <x:c r="E193" s="15" t="n">
        <x:v>0.5139930555555555</x:v>
      </x:c>
      <x:c r="F193" s="16" t="str">
        <x:v>14590247</x:v>
      </x:c>
      <x:c r="G193" s="13" t="n">
        <x:v>177</x:v>
      </x:c>
      <x:c r="H193" s="15" t="n">
        <x:v>0.5140509259259259</x:v>
      </x:c>
      <x:c r="I193" s="17" t="n">
        <x:f>ROUND((H193-E193)*86400,0)</x:f>
        <x:v>5</x:v>
      </x:c>
      <x:c r="J193" s="16" t="str">
        <x:v>14590087</x:v>
      </x:c>
      <x:c r="K193" s="13" t="str">
        <x:v>Hey [Rencher?], what’s your 20?</x:v>
      </x:c>
      <x:c r="L193" s="13" t="str">
        <x:v>I am approaching [Canal?], about seven minutes out.</x:v>
      </x:c>
      <x:c r="M193" s="13" t="str">
        <x:v>Transcript association</x:v>
      </x:c>
      <x:c r="N193" s="13" t="str"/>
      <x:c r="O193" s="18" t="str">
        <x:v>Not reviewed</x:v>
      </x:c>
      <x:c r="P193" s="19" t="str">
        <x:v>https://afpd-accountability.com/records/openmhz/openmhz-afpd-car-to-car-2026-09-26/dcfems-6001-1790446809.m4a</x:v>
      </x:c>
      <x:c r="Q193" s="19" t="str">
        <x:v>https://afpd-accountability.com/records/openmhz/openmhz-afpd-car-to-car-2026-09-26/dcfems-6001-1790446814.m4a</x:v>
      </x:c>
      <x:c r="R193" s="19" t="str">
        <x:v>https://afpd-accountability.com/police-radio/?date=2026-09-26</x:v>
      </x:c>
      <x:c r="S193" s="13" t="n">
        <x:v>5</x:v>
      </x:c>
    </x:row>
    <x:row r="194" ht="60" customHeight="1">
      <x:c r="A194" s="13" t="str">
        <x:v>E187</x:v>
      </x:c>
      <x:c r="B194" s="13" t="str">
        <x:v>Mason</x:v>
      </x:c>
      <x:c r="C194" s="14" t="n">
        <x:v>46291</x:v>
      </x:c>
      <x:c r="D194" s="13" t="n">
        <x:v>184</x:v>
      </x:c>
      <x:c r="E194" s="15" t="n">
        <x:v>0.5156481481481482</x:v>
      </x:c>
      <x:c r="F194" s="16" t="str">
        <x:v>14590111</x:v>
      </x:c>
      <x:c r="G194" s="13" t="n">
        <x:v>185</x:v>
      </x:c>
      <x:c r="H194" s="15" t="n">
        <x:v>0.5157986111111111</x:v>
      </x:c>
      <x:c r="I194" s="17" t="n">
        <x:f>ROUND((H194-E194)*86400,0)</x:f>
        <x:v>13</x:v>
      </x:c>
      <x:c r="J194" s="16" t="str">
        <x:v>14590315</x:v>
      </x:c>
      <x:c r="K194" s="13" t="str">
        <x:v>[Mason?], I'm just passing [Quinn Park?].</x:v>
      </x:c>
      <x:c r="L194" s="13" t="str">
        <x:v>I just got here. Do you want me to wait for you?</x:v>
      </x:c>
      <x:c r="M194" s="13" t="str">
        <x:v>Transcript association</x:v>
      </x:c>
      <x:c r="N194" s="13" t="str"/>
      <x:c r="O194" s="18" t="str">
        <x:v>Not reviewed</x:v>
      </x:c>
      <x:c r="P194" s="19" t="str">
        <x:v>https://afpd-accountability.com/records/openmhz/openmhz-afpd-car-to-car-2026-09-26/dcfems-6001-1790446952.m4a</x:v>
      </x:c>
      <x:c r="Q194" s="19" t="str">
        <x:v>https://afpd-accountability.com/records/openmhz/openmhz-afpd-car-to-car-2026-09-26/dcfems-6001-1790446965.m4a</x:v>
      </x:c>
      <x:c r="R194" s="19" t="str">
        <x:v>https://afpd-accountability.com/police-radio/?date=2026-09-26</x:v>
      </x:c>
      <x:c r="S194" s="13" t="n">
        <x:v>13</x:v>
      </x:c>
    </x:row>
    <x:row r="195" ht="60" customHeight="1">
      <x:c r="A195" s="13" t="str">
        <x:v>E188</x:v>
      </x:c>
      <x:c r="B195" s="13" t="str">
        <x:v>Mason</x:v>
      </x:c>
      <x:c r="C195" s="14" t="n">
        <x:v>46291</x:v>
      </x:c>
      <x:c r="D195" s="13" t="n">
        <x:v>190</x:v>
      </x:c>
      <x:c r="E195" s="15" t="n">
        <x:v>0.5385300925925925</x:v>
      </x:c>
      <x:c r="F195" s="16" t="str">
        <x:v>14590111</x:v>
      </x:c>
      <x:c r="G195" s="13" t="n">
        <x:v>191</x:v>
      </x:c>
      <x:c r="H195" s="15" t="n">
        <x:v>0.5386921296296296</x:v>
      </x:c>
      <x:c r="I195" s="17" t="n">
        <x:f>ROUND((H195-E195)*86400,0)</x:f>
        <x:v>14</x:v>
      </x:c>
      <x:c r="J195" s="16" t="str">
        <x:v>14590237</x:v>
      </x:c>
      <x:c r="K195" s="13" t="str">
        <x:v>So [Mason?], I'm going to try and contact the RO of this vehicle, see if he's close by, if he knows who she is and that she has his vehicle.</x:v>
      </x:c>
      <x:c r="L195" s="13" t="str">
        <x:v>[I copy / all right, copy?]</x:v>
      </x:c>
      <x:c r="M195" s="13" t="str">
        <x:v>Transcript association</x:v>
      </x:c>
      <x:c r="N195" s="13" t="str"/>
      <x:c r="O195" s="18" t="str">
        <x:v>Not reviewed</x:v>
      </x:c>
      <x:c r="P195" s="19" t="str">
        <x:v>https://afpd-accountability.com/records/openmhz/openmhz-afpd-car-to-car-2026-09-26/dcfems-6001-1790448929.m4a</x:v>
      </x:c>
      <x:c r="Q195" s="19" t="str">
        <x:v>https://afpd-accountability.com/records/openmhz/openmhz-afpd-car-to-car-2026-09-26/dcfems-6001-1790448943.m4a</x:v>
      </x:c>
      <x:c r="R195" s="19" t="str">
        <x:v>https://afpd-accountability.com/police-radio/?date=2026-09-26</x:v>
      </x:c>
      <x:c r="S195" s="13" t="n">
        <x:v>14</x:v>
      </x:c>
    </x:row>
    <x:row r="196" ht="60" customHeight="1">
      <x:c r="A196" s="13" t="str">
        <x:v>E189</x:v>
      </x:c>
      <x:c r="B196" s="13" t="str">
        <x:v>Makai / Kelepi</x:v>
      </x:c>
      <x:c r="C196" s="14" t="n">
        <x:v>46291</x:v>
      </x:c>
      <x:c r="D196" s="13" t="n">
        <x:v>236</x:v>
      </x:c>
      <x:c r="E196" s="15" t="n">
        <x:v>0.6025</x:v>
      </x:c>
      <x:c r="F196" s="16" t="str">
        <x:v>14590219</x:v>
      </x:c>
      <x:c r="G196" s="13" t="n">
        <x:v>237</x:v>
      </x:c>
      <x:c r="H196" s="15" t="n">
        <x:v>0.6033680555555555</x:v>
      </x:c>
      <x:c r="I196" s="17" t="n">
        <x:f>ROUND((H196-E196)*86400,0)</x:f>
        <x:v>75</x:v>
      </x:c>
      <x:c r="J196" s="16" t="str">
        <x:v>14590084</x:v>
      </x:c>
      <x:c r="K196" s="13" t="str">
        <x:v>[Makai?], are you free to eat?</x:v>
      </x:c>
      <x:c r="L196" s="13" t="str">
        <x:v>Now I have another lady I need to pink-slip, so I might be a minute.</x:v>
      </x:c>
      <x:c r="M196" s="13" t="str">
        <x:v>Transcript association</x:v>
      </x:c>
      <x:c r="N196" s="13" t="str"/>
      <x:c r="O196" s="18" t="str">
        <x:v>Not reviewed</x:v>
      </x:c>
      <x:c r="P196" s="19" t="str">
        <x:v>https://afpd-accountability.com/records/openmhz/openmhz-afpd-car-to-car-2026-09-26/dcfems-6001-1790454456.m4a</x:v>
      </x:c>
      <x:c r="Q196" s="19" t="str">
        <x:v>https://afpd-accountability.com/records/openmhz/openmhz-afpd-car-to-car-2026-09-26/dcfems-6001-1790454531.m4a</x:v>
      </x:c>
      <x:c r="R196" s="19" t="str">
        <x:v>https://afpd-accountability.com/police-radio/?date=2026-09-26</x:v>
      </x:c>
      <x:c r="S196" s="13" t="n">
        <x:v>75</x:v>
      </x:c>
    </x:row>
    <x:row r="197" ht="60" customHeight="1">
      <x:c r="A197" s="13" t="str">
        <x:v>E190</x:v>
      </x:c>
      <x:c r="B197" s="13" t="str">
        <x:v>Mason</x:v>
      </x:c>
      <x:c r="C197" s="14" t="n">
        <x:v>46291</x:v>
      </x:c>
      <x:c r="D197" s="13" t="n">
        <x:v>239</x:v>
      </x:c>
      <x:c r="E197" s="15" t="n">
        <x:v>0.617650462962963</x:v>
      </x:c>
      <x:c r="F197" s="16" t="str">
        <x:v>14590087</x:v>
      </x:c>
      <x:c r="G197" s="13" t="n">
        <x:v>240</x:v>
      </x:c>
      <x:c r="H197" s="15" t="n">
        <x:v>0.6178587962962963</x:v>
      </x:c>
      <x:c r="I197" s="17" t="n">
        <x:f>ROUND((H197-E197)*86400,0)</x:f>
        <x:v>18</x:v>
      </x:c>
      <x:c r="J197" s="16" t="str">
        <x:v>14590315</x:v>
      </x:c>
      <x:c r="K197" s="13" t="str">
        <x:v>[Mason?], if you go into your cases, just reassign it to me.</x:v>
      </x:c>
      <x:c r="L197" s="13" t="str">
        <x:v>Copy, I'll send [it your way?]. Thanks again.</x:v>
      </x:c>
      <x:c r="M197" s="13" t="str">
        <x:v>Transcript association</x:v>
      </x:c>
      <x:c r="N197" s="13" t="str"/>
      <x:c r="O197" s="18" t="str">
        <x:v>Not reviewed</x:v>
      </x:c>
      <x:c r="P197" s="19" t="str">
        <x:v>https://afpd-accountability.com/records/openmhz/openmhz-afpd-car-to-car-2026-09-26/dcfems-6001-1790455765.m4a</x:v>
      </x:c>
      <x:c r="Q197" s="19" t="str">
        <x:v>https://afpd-accountability.com/records/openmhz/openmhz-afpd-car-to-car-2026-09-26/dcfems-6001-1790455783.m4a</x:v>
      </x:c>
      <x:c r="R197" s="19" t="str">
        <x:v>https://afpd-accountability.com/police-radio/?date=2026-09-26</x:v>
      </x:c>
      <x:c r="S197" s="13" t="n">
        <x:v>18</x:v>
      </x:c>
    </x:row>
    <x:row r="198" ht="60" customHeight="1">
      <x:c r="A198" s="13" t="str">
        <x:v>E191</x:v>
      </x:c>
      <x:c r="B198" s="13" t="str">
        <x:v>Renter</x:v>
      </x:c>
      <x:c r="C198" s="14" t="n">
        <x:v>46291</x:v>
      </x:c>
      <x:c r="D198" s="13" t="n">
        <x:v>248</x:v>
      </x:c>
      <x:c r="E198" s="15" t="n">
        <x:v>0.6938194444444444</x:v>
      </x:c>
      <x:c r="F198" s="16" t="str">
        <x:v>14590084</x:v>
      </x:c>
      <x:c r="G198" s="13" t="n">
        <x:v>249</x:v>
      </x:c>
      <x:c r="H198" s="15" t="n">
        <x:v>0.6939236111111111</x:v>
      </x:c>
      <x:c r="I198" s="17" t="n">
        <x:f>ROUND((H198-E198)*86400,0)</x:f>
        <x:v>9</x:v>
      </x:c>
      <x:c r="J198" s="16" t="str">
        <x:v>14590087</x:v>
      </x:c>
      <x:c r="K198" s="13" t="str">
        <x:v>[Rencher?], do you want to take that, or do you want me to?</x:v>
      </x:c>
      <x:c r="L198" s="13" t="str">
        <x:v>It said it was in regards to a stolen car, so I'll just see what he has to say. Maybe he can share the video for me if you don't have it yet.</x:v>
      </x:c>
      <x:c r="M198" s="13" t="str">
        <x:v>Transcript association</x:v>
      </x:c>
      <x:c r="N198" s="13" t="str"/>
      <x:c r="O198" s="18" t="str">
        <x:v>Not reviewed</x:v>
      </x:c>
      <x:c r="P198" s="19" t="str">
        <x:v>https://afpd-accountability.com/records/openmhz/openmhz-afpd-car-to-car-2026-09-26/dcfems-6001-1790462346.m4a</x:v>
      </x:c>
      <x:c r="Q198" s="19" t="str">
        <x:v>https://afpd-accountability.com/records/openmhz/openmhz-afpd-car-to-car-2026-09-26/dcfems-6001-1790462355.m4a</x:v>
      </x:c>
      <x:c r="R198" s="19" t="str">
        <x:v>https://afpd-accountability.com/police-radio/?date=2026-09-26</x:v>
      </x:c>
      <x:c r="S198" s="13" t="n">
        <x:v>9</x:v>
      </x:c>
    </x:row>
    <x:row r="199" ht="60" customHeight="1">
      <x:c r="A199" s="13" t="str">
        <x:v>E192</x:v>
      </x:c>
      <x:c r="B199" s="13" t="str">
        <x:v>Mason</x:v>
      </x:c>
      <x:c r="C199" s="14" t="n">
        <x:v>46291</x:v>
      </x:c>
      <x:c r="D199" s="13" t="n">
        <x:v>255</x:v>
      </x:c>
      <x:c r="E199" s="15" t="n">
        <x:v>0.7247337962962963</x:v>
      </x:c>
      <x:c r="F199" s="16" t="str">
        <x:v>14590111</x:v>
      </x:c>
      <x:c r="G199" s="13" t="n">
        <x:v>256</x:v>
      </x:c>
      <x:c r="H199" s="15" t="n">
        <x:v>0.7248842592592593</x:v>
      </x:c>
      <x:c r="I199" s="17" t="n">
        <x:f>ROUND((H199-E199)*86400,0)</x:f>
        <x:v>13</x:v>
      </x:c>
      <x:c r="J199" s="16" t="str">
        <x:v>14590237</x:v>
      </x:c>
      <x:c r="K199" s="13" t="str">
        <x:v>[Mason / thank you?]</x:v>
      </x:c>
      <x:c r="L199" s="13" t="str">
        <x:v>[And then / 10-9?]</x:v>
      </x:c>
      <x:c r="M199" s="13" t="str">
        <x:v>Transcript association</x:v>
      </x:c>
      <x:c r="N199" s="13" t="str"/>
      <x:c r="O199" s="18" t="str">
        <x:v>Not reviewed</x:v>
      </x:c>
      <x:c r="P199" s="19" t="str">
        <x:v>https://afpd-accountability.com/records/openmhz/openmhz-afpd-car-to-car-2026-09-26/dcfems-6001-1790465017.m4a</x:v>
      </x:c>
      <x:c r="Q199" s="19" t="str">
        <x:v>https://afpd-accountability.com/records/openmhz/openmhz-afpd-car-to-car-2026-09-26/dcfems-6001-1790465030.m4a</x:v>
      </x:c>
      <x:c r="R199" s="19" t="str">
        <x:v>https://afpd-accountability.com/police-radio/?date=2026-09-26</x:v>
      </x:c>
      <x:c r="S199" s="13" t="n">
        <x:v>13</x:v>
      </x:c>
    </x:row>
    <x:row r="200" ht="60" customHeight="1">
      <x:c r="A200" s="13" t="str">
        <x:v>E193</x:v>
      </x:c>
      <x:c r="B200" s="13" t="str">
        <x:v>Ron</x:v>
      </x:c>
      <x:c r="C200" s="14" t="n">
        <x:v>46291</x:v>
      </x:c>
      <x:c r="D200" s="13" t="n">
        <x:v>278</x:v>
      </x:c>
      <x:c r="E200" s="15" t="n">
        <x:v>0.7715972222222223</x:v>
      </x:c>
      <x:c r="F200" s="16" t="str">
        <x:v>14590085</x:v>
      </x:c>
      <x:c r="G200" s="13" t="n">
        <x:v>279</x:v>
      </x:c>
      <x:c r="H200" s="15" t="n">
        <x:v>0.7716550925925926</x:v>
      </x:c>
      <x:c r="I200" s="17" t="n">
        <x:f>ROUND((H200-E200)*86400,0)</x:f>
        <x:v>5</x:v>
      </x:c>
      <x:c r="J200" s="16" t="str">
        <x:v>14590207</x:v>
      </x:c>
      <x:c r="K200" s="13" t="str">
        <x:v>[Ron?], you’re on here?</x:v>
      </x:c>
      <x:c r="L200" s="13" t="str">
        <x:v>Yep.</x:v>
      </x:c>
      <x:c r="M200" s="13" t="str">
        <x:v>Transcript association</x:v>
      </x:c>
      <x:c r="N200" s="13" t="str">
        <x:v>Ron could be a name, nickname, or a transcription of Bronson. Several distinct IDs appear; no roster identity assigned.</x:v>
      </x:c>
      <x:c r="O200" s="18" t="str">
        <x:v>Not reviewed</x:v>
      </x:c>
      <x:c r="P200" s="19" t="str">
        <x:v>https://afpd-accountability.com/records/openmhz/openmhz-afpd-car-to-car-2026-09-26/dcfems-6001-1790469066.m4a</x:v>
      </x:c>
      <x:c r="Q200" s="19" t="str">
        <x:v>https://afpd-accountability.com/records/openmhz/openmhz-afpd-car-to-car-2026-09-26/dcfems-6001-1790469071.m4a</x:v>
      </x:c>
      <x:c r="R200" s="19" t="str">
        <x:v>https://afpd-accountability.com/police-radio/?date=2026-09-26</x:v>
      </x:c>
      <x:c r="S200" s="13" t="n">
        <x:v>5</x:v>
      </x:c>
    </x:row>
    <x:row r="201" ht="60" customHeight="1">
      <x:c r="A201" s="13" t="str">
        <x:v>E194</x:v>
      </x:c>
      <x:c r="B201" s="13" t="str">
        <x:v>Diego / Garcia</x:v>
      </x:c>
      <x:c r="C201" s="14" t="n">
        <x:v>46291</x:v>
      </x:c>
      <x:c r="D201" s="13" t="n">
        <x:v>283</x:v>
      </x:c>
      <x:c r="E201" s="15" t="n">
        <x:v>0.7766782407407408</x:v>
      </x:c>
      <x:c r="F201" s="16" t="str">
        <x:v>14590313</x:v>
      </x:c>
      <x:c r="G201" s="13" t="n">
        <x:v>284</x:v>
      </x:c>
      <x:c r="H201" s="15" t="n">
        <x:v>0.7767824074074074</x:v>
      </x:c>
      <x:c r="I201" s="17" t="n">
        <x:f>ROUND((H201-E201)*86400,0)</x:f>
        <x:v>9</x:v>
      </x:c>
      <x:c r="J201" s="16" t="str">
        <x:v>14590089</x:v>
      </x:c>
      <x:c r="K201" s="13" t="str">
        <x:v>Take care, Diego.</x:v>
      </x:c>
      <x:c r="L201" s="13" t="str">
        <x:v>Thank you. Who was that?</x:v>
      </x:c>
      <x:c r="M201" s="13" t="str">
        <x:v>Transcript association</x:v>
      </x:c>
      <x:c r="N201" s="13" t="str"/>
      <x:c r="O201" s="18" t="str">
        <x:v>Not reviewed</x:v>
      </x:c>
      <x:c r="P201" s="19" t="str">
        <x:v>https://afpd-accountability.com/records/openmhz/openmhz-afpd-car-to-car-2026-09-26/dcfems-6001-1790469505.m4a</x:v>
      </x:c>
      <x:c r="Q201" s="19" t="str">
        <x:v>https://afpd-accountability.com/records/openmhz/openmhz-afpd-car-to-car-2026-09-26/dcfems-6001-1790469514.m4a</x:v>
      </x:c>
      <x:c r="R201" s="19" t="str">
        <x:v>https://afpd-accountability.com/police-radio/?date=2026-09-26</x:v>
      </x:c>
      <x:c r="S201" s="13" t="n">
        <x:v>9</x:v>
      </x:c>
    </x:row>
    <x:row r="202" ht="60" customHeight="1">
      <x:c r="A202" s="13" t="str">
        <x:v>E195</x:v>
      </x:c>
      <x:c r="B202" s="13" t="str">
        <x:v>Diego / Garcia</x:v>
      </x:c>
      <x:c r="C202" s="14" t="n">
        <x:v>46292</x:v>
      </x:c>
      <x:c r="D202" s="13" t="n">
        <x:v>96</x:v>
      </x:c>
      <x:c r="E202" s="15" t="n">
        <x:v>0.6446759259259259</x:v>
      </x:c>
      <x:c r="F202" s="16" t="str">
        <x:v>14590091</x:v>
      </x:c>
      <x:c r="G202" s="13" t="n">
        <x:v>97</x:v>
      </x:c>
      <x:c r="H202" s="15" t="n">
        <x:v>0.6447800925925926</x:v>
      </x:c>
      <x:c r="I202" s="17" t="n">
        <x:f>ROUND((H202-E202)*86400,0)</x:f>
        <x:v>9</x:v>
      </x:c>
      <x:c r="J202" s="16" t="str">
        <x:v>14590089</x:v>
      </x:c>
      <x:c r="K202" s="13" t="str">
        <x:v>[It's been Kelton Wright, Diego?]</x:v>
      </x:c>
      <x:c r="L202" s="13" t="str">
        <x:v>Negative, it's going to be the building that's on the corner of 900 West and 350 South, the Northeast corner.</x:v>
      </x:c>
      <x:c r="M202" s="13" t="str">
        <x:v>Transcript association</x:v>
      </x:c>
      <x:c r="N202" s="13" t="str"/>
      <x:c r="O202" s="18" t="str">
        <x:v>Not reviewed</x:v>
      </x:c>
      <x:c r="P202" s="19" t="str">
        <x:v>https://afpd-accountability.com/records/openmhz/openmhz-afpd-car-to-car-2026-09-27/dcfems-6001-1790544500.m4a</x:v>
      </x:c>
      <x:c r="Q202" s="19" t="str">
        <x:v>https://afpd-accountability.com/records/openmhz/openmhz-afpd-car-to-car-2026-09-27/dcfems-6001-1790544509.m4a</x:v>
      </x:c>
      <x:c r="R202" s="19" t="str">
        <x:v>https://afpd-accountability.com/police-radio/?date=2026-09-27</x:v>
      </x:c>
      <x:c r="S202" s="13" t="n">
        <x:v>9</x:v>
      </x:c>
    </x:row>
    <x:row r="203" ht="60" customHeight="1">
      <x:c r="A203" s="13" t="str">
        <x:v>E196</x:v>
      </x:c>
      <x:c r="B203" s="13" t="str">
        <x:v>Diego / Garcia</x:v>
      </x:c>
      <x:c r="C203" s="14" t="n">
        <x:v>46292</x:v>
      </x:c>
      <x:c r="D203" s="13" t="n">
        <x:v>100</x:v>
      </x:c>
      <x:c r="E203" s="15" t="n">
        <x:v>0.6934837962962963</x:v>
      </x:c>
      <x:c r="F203" s="16" t="str">
        <x:v>14590087</x:v>
      </x:c>
      <x:c r="G203" s="13" t="n">
        <x:v>101</x:v>
      </x:c>
      <x:c r="H203" s="15" t="n">
        <x:v>0.6935532407407408</x:v>
      </x:c>
      <x:c r="I203" s="17" t="n">
        <x:f>ROUND((H203-E203)*86400,0)</x:f>
        <x:v>6</x:v>
      </x:c>
      <x:c r="J203" s="16" t="str">
        <x:v>14590089</x:v>
      </x:c>
      <x:c r="K203" s="13" t="str">
        <x:v>I'm gonna go code, Diego.</x:v>
      </x:c>
      <x:c r="L203" s="13" t="str">
        <x:v>Yeah, that's fine.</x:v>
      </x:c>
      <x:c r="M203" s="13" t="str">
        <x:v>Transcript association</x:v>
      </x:c>
      <x:c r="N203" s="13" t="str"/>
      <x:c r="O203" s="18" t="str">
        <x:v>Not reviewed</x:v>
      </x:c>
      <x:c r="P203" s="19" t="str">
        <x:v>https://afpd-accountability.com/records/openmhz/openmhz-afpd-car-to-car-2026-09-27/dcfems-6001-1790548717.m4a</x:v>
      </x:c>
      <x:c r="Q203" s="19" t="str">
        <x:v>https://afpd-accountability.com/records/openmhz/openmhz-afpd-car-to-car-2026-09-27/dcfems-6001-1790548723.m4a</x:v>
      </x:c>
      <x:c r="R203" s="19" t="str">
        <x:v>https://afpd-accountability.com/police-radio/?date=2026-09-27</x:v>
      </x:c>
      <x:c r="S203" s="13" t="n">
        <x:v>6</x:v>
      </x:c>
    </x:row>
    <x:row r="204" ht="60" customHeight="1">
      <x:c r="A204" s="13" t="str">
        <x:v>E197</x:v>
      </x:c>
      <x:c r="B204" s="13" t="str">
        <x:v>Ethan</x:v>
      </x:c>
      <x:c r="C204" s="14" t="n">
        <x:v>46292</x:v>
      </x:c>
      <x:c r="D204" s="13" t="n">
        <x:v>112</x:v>
      </x:c>
      <x:c r="E204" s="15" t="n">
        <x:v>0.7192824074074075</x:v>
      </x:c>
      <x:c r="F204" s="16" t="str">
        <x:v>14590237</x:v>
      </x:c>
      <x:c r="G204" s="13" t="n">
        <x:v>113</x:v>
      </x:c>
      <x:c r="H204" s="15" t="n">
        <x:v>0.7193171296296297</x:v>
      </x:c>
      <x:c r="I204" s="17" t="n">
        <x:f>ROUND((H204-E204)*86400,0)</x:f>
        <x:v>3</x:v>
      </x:c>
      <x:c r="J204" s="16" t="str">
        <x:v>14590091</x:v>
      </x:c>
      <x:c r="K204" s="13" t="str">
        <x:v>Thanks for your help, [Eden / Ethan].</x:v>
      </x:c>
      <x:c r="L204" s="13" t="str">
        <x:v>You're welcome.</x:v>
      </x:c>
      <x:c r="M204" s="13" t="str">
        <x:v>Conflicting names on this ID</x:v>
      </x:c>
      <x:c r="N204" s="13" t="str">
        <x:v>14590091 also answers Heaton/Colby and Colton; 14590225 also answers Josh. Response adjacency may identify a crew or a different responder.</x:v>
      </x:c>
      <x:c r="O204" s="18" t="str">
        <x:v>Not reviewed</x:v>
      </x:c>
      <x:c r="P204" s="19" t="str">
        <x:v>https://afpd-accountability.com/records/openmhz/openmhz-afpd-car-to-car-2026-09-27/dcfems-6001-1790550946.m4a</x:v>
      </x:c>
      <x:c r="Q204" s="19" t="str">
        <x:v>https://afpd-accountability.com/records/openmhz/openmhz-afpd-car-to-car-2026-09-27/dcfems-6001-1790550949.m4a</x:v>
      </x:c>
      <x:c r="R204" s="19" t="str">
        <x:v>https://afpd-accountability.com/police-radio/?date=2026-09-27</x:v>
      </x:c>
      <x:c r="S204" s="13" t="n">
        <x:v>3</x:v>
      </x:c>
    </x:row>
    <x:row r="205" ht="60" customHeight="1">
      <x:c r="A205" s="13" t="str">
        <x:v>E198</x:v>
      </x:c>
      <x:c r="B205" s="13" t="str">
        <x:v>Ethan</x:v>
      </x:c>
      <x:c r="C205" s="14" t="n">
        <x:v>46292</x:v>
      </x:c>
      <x:c r="D205" s="13" t="n">
        <x:v>114</x:v>
      </x:c>
      <x:c r="E205" s="15" t="n">
        <x:v>0.7207523148148148</x:v>
      </x:c>
      <x:c r="F205" s="16" t="str">
        <x:v>14590084</x:v>
      </x:c>
      <x:c r="G205" s="13" t="n">
        <x:v>115</x:v>
      </x:c>
      <x:c r="H205" s="15" t="n">
        <x:v>0.7208333333333333</x:v>
      </x:c>
      <x:c r="I205" s="17" t="n">
        <x:f>ROUND((H205-E205)*86400,0)</x:f>
        <x:v>7</x:v>
      </x:c>
      <x:c r="J205" s="16" t="str">
        <x:v>14590091</x:v>
      </x:c>
      <x:c r="K205" s="13" t="str">
        <x:v>[Ethan?], what's your 20? I just got on 100 East.</x:v>
      </x:c>
      <x:c r="L205" s="13" t="str">
        <x:v>[Brown agent?], 100 West.</x:v>
      </x:c>
      <x:c r="M205" s="13" t="str">
        <x:v>Conflicting names on this ID</x:v>
      </x:c>
      <x:c r="N205" s="13" t="str">
        <x:v>14590091 also answers Heaton/Colby and Colton; 14590225 also answers Josh. Response adjacency may identify a crew or a different responder.</x:v>
      </x:c>
      <x:c r="O205" s="18" t="str">
        <x:v>Not reviewed</x:v>
      </x:c>
      <x:c r="P205" s="19" t="str">
        <x:v>https://afpd-accountability.com/records/openmhz/openmhz-afpd-car-to-car-2026-09-27/dcfems-6001-1790551073.m4a</x:v>
      </x:c>
      <x:c r="Q205" s="19" t="str">
        <x:v>https://afpd-accountability.com/records/openmhz/openmhz-afpd-car-to-car-2026-09-27/dcfems-6001-1790551080.m4a</x:v>
      </x:c>
      <x:c r="R205" s="19" t="str">
        <x:v>https://afpd-accountability.com/police-radio/?date=2026-09-27</x:v>
      </x:c>
      <x:c r="S205" s="13" t="n">
        <x:v>7</x:v>
      </x:c>
    </x:row>
    <x:row r="206" ht="60" customHeight="1">
      <x:c r="A206" s="13" t="str">
        <x:v>E199</x:v>
      </x:c>
      <x:c r="B206" s="13" t="str">
        <x:v>Mitch</x:v>
      </x:c>
      <x:c r="C206" s="14" t="n">
        <x:v>46292</x:v>
      </x:c>
      <x:c r="D206" s="13" t="n">
        <x:v>135</x:v>
      </x:c>
      <x:c r="E206" s="15" t="n">
        <x:v>0.7994907407407408</x:v>
      </x:c>
      <x:c r="F206" s="16" t="str">
        <x:v>14590038</x:v>
      </x:c>
      <x:c r="G206" s="13" t="n">
        <x:v>136</x:v>
      </x:c>
      <x:c r="H206" s="15" t="n">
        <x:v>0.7995833333333333</x:v>
      </x:c>
      <x:c r="I206" s="17" t="n">
        <x:f>ROUND((H206-E206)*86400,0)</x:f>
        <x:v>8</x:v>
      </x:c>
      <x:c r="J206" s="16" t="str">
        <x:v>14590344</x:v>
      </x:c>
      <x:c r="K206" s="13" t="str">
        <x:v>[Hey, Mitch?] Can you run this?</x:v>
      </x:c>
      <x:c r="L206" s="13" t="str">
        <x:v>[unclear]</x:v>
      </x:c>
      <x:c r="M206" s="13" t="str">
        <x:v>Transcript association</x:v>
      </x:c>
      <x:c r="N206" s="13" t="str">
        <x:v>14590036 also answers Hawkins. Keep 14590344 separate from 14590036 pending audio and assignment confirmation.</x:v>
      </x:c>
      <x:c r="O206" s="18" t="str">
        <x:v>Not reviewed</x:v>
      </x:c>
      <x:c r="P206" s="19" t="str">
        <x:v>https://afpd-accountability.com/records/openmhz/openmhz-afpd-car-to-car-2026-09-27/dcfems-6001-1790557876.m4a</x:v>
      </x:c>
      <x:c r="Q206" s="19" t="str">
        <x:v>https://afpd-accountability.com/records/openmhz/openmhz-afpd-car-to-car-2026-09-27/dcfems-6001-1790557884.m4a</x:v>
      </x:c>
      <x:c r="R206" s="19" t="str">
        <x:v>https://afpd-accountability.com/police-radio/?date=2026-09-27</x:v>
      </x:c>
      <x:c r="S206" s="13" t="n">
        <x:v>8</x:v>
      </x:c>
    </x:row>
    <x:row r="207" ht="60" customHeight="1">
      <x:c r="A207" s="13" t="str">
        <x:v>E200</x:v>
      </x:c>
      <x:c r="B207" s="13" t="str">
        <x:v>McKay</x:v>
      </x:c>
      <x:c r="C207" s="14" t="n">
        <x:v>46293</x:v>
      </x:c>
      <x:c r="D207" s="13" t="n">
        <x:v>90</x:v>
      </x:c>
      <x:c r="E207" s="15" t="n">
        <x:v>0.5912731481481481</x:v>
      </x:c>
      <x:c r="F207" s="16" t="str">
        <x:v>14590162</x:v>
      </x:c>
      <x:c r="G207" s="13" t="n">
        <x:v>91</x:v>
      </x:c>
      <x:c r="H207" s="15" t="n">
        <x:v>0.5914351851851852</x:v>
      </x:c>
      <x:c r="I207" s="17" t="n">
        <x:f>ROUND((H207-E207)*86400,0)</x:f>
        <x:v>14</x:v>
      </x:c>
      <x:c r="J207" s="16" t="str">
        <x:v>14590102</x:v>
      </x:c>
      <x:c r="K207" s="13" t="str">
        <x:v>Hey, [McKay?], I'll start inventorying the vehicles. Did you already call the [cattle truck?]?</x:v>
      </x:c>
      <x:c r="L207" s="13" t="str">
        <x:v>Negative. If we could get two tows out here, I'd appreciate it if you don't mind doing that one.</x:v>
      </x:c>
      <x:c r="M207" s="13" t="str">
        <x:v>Transcript association</x:v>
      </x:c>
      <x:c r="N207" s="13" t="str"/>
      <x:c r="O207" s="18" t="str">
        <x:v>Not reviewed</x:v>
      </x:c>
      <x:c r="P207" s="19" t="str">
        <x:v>https://afpd-accountability.com/records/openmhz/openmhz-afpd-car-to-car-2026-09-28/dcfems-6001-1790626286.m4a</x:v>
      </x:c>
      <x:c r="Q207" s="19" t="str">
        <x:v>https://afpd-accountability.com/records/openmhz/openmhz-afpd-car-to-car-2026-09-28/dcfems-6001-1790626300.m4a</x:v>
      </x:c>
      <x:c r="R207" s="19" t="str">
        <x:v>https://afpd-accountability.com/police-radio/?date=2026-09-28</x:v>
      </x:c>
      <x:c r="S207" s="13" t="n">
        <x:v>14</x:v>
      </x:c>
    </x:row>
    <x:row r="208" ht="60" customHeight="1">
      <x:c r="A208" s="13" t="str">
        <x:v>E201</x:v>
      </x:c>
      <x:c r="B208" s="13" t="str">
        <x:v>Wagley</x:v>
      </x:c>
      <x:c r="C208" s="14" t="n">
        <x:v>46293</x:v>
      </x:c>
      <x:c r="D208" s="13" t="n">
        <x:v>95</x:v>
      </x:c>
      <x:c r="E208" s="15" t="n">
        <x:v>0.6116203703703704</x:v>
      </x:c>
      <x:c r="F208" s="16" t="str">
        <x:v>14590102</x:v>
      </x:c>
      <x:c r="G208" s="13" t="n">
        <x:v>96</x:v>
      </x:c>
      <x:c r="H208" s="15" t="n">
        <x:v>0.6116782407407407</x:v>
      </x:c>
      <x:c r="I208" s="17" t="n">
        <x:f>ROUND((H208-E208)*86400,0)</x:f>
        <x:v>5</x:v>
      </x:c>
      <x:c r="J208" s="16" t="str">
        <x:v>14590079</x:v>
      </x:c>
      <x:c r="K208" s="13" t="str">
        <x:v>[Stay waggly on here?]</x:v>
      </x:c>
      <x:c r="L208" s="13" t="str">
        <x:v>[But / bye].</x:v>
      </x:c>
      <x:c r="M208" s="13" t="str">
        <x:v>Transcript association</x:v>
      </x:c>
      <x:c r="N208" s="13" t="str"/>
      <x:c r="O208" s="18" t="str">
        <x:v>Not reviewed</x:v>
      </x:c>
      <x:c r="P208" s="19" t="str">
        <x:v>https://afpd-accountability.com/records/openmhz/openmhz-afpd-car-to-car-2026-09-28/dcfems-6001-1790628044.m4a</x:v>
      </x:c>
      <x:c r="Q208" s="19" t="str">
        <x:v>https://afpd-accountability.com/records/openmhz/openmhz-afpd-car-to-car-2026-09-28/dcfems-6001-1790628049.m4a</x:v>
      </x:c>
      <x:c r="R208" s="19" t="str">
        <x:v>https://afpd-accountability.com/police-radio/?date=2026-09-28</x:v>
      </x:c>
      <x:c r="S208" s="13" t="n">
        <x:v>5</x:v>
      </x:c>
    </x:row>
    <x:row r="209" ht="60" customHeight="1">
      <x:c r="A209" s="13" t="str">
        <x:v>E202</x:v>
      </x:c>
      <x:c r="B209" s="13" t="str">
        <x:v>McClellan / Dennis</x:v>
      </x:c>
      <x:c r="C209" s="14" t="n">
        <x:v>46293</x:v>
      </x:c>
      <x:c r="D209" s="13" t="n">
        <x:v>110</x:v>
      </x:c>
      <x:c r="E209" s="15" t="n">
        <x:v>0.6368865740740741</x:v>
      </x:c>
      <x:c r="F209" s="16" t="str">
        <x:v>14590066</x:v>
      </x:c>
      <x:c r="G209" s="13" t="n">
        <x:v>111</x:v>
      </x:c>
      <x:c r="H209" s="15" t="n">
        <x:v>0.6369791666666667</x:v>
      </x:c>
      <x:c r="I209" s="17" t="n">
        <x:f>ROUND((H209-E209)*86400,0)</x:f>
        <x:v>8</x:v>
      </x:c>
      <x:c r="J209" s="16" t="str">
        <x:v>14590162</x:v>
      </x:c>
      <x:c r="K209" s="13" t="str">
        <x:v>Hey McClellan, have you ever booked a firearm before?</x:v>
      </x:c>
      <x:c r="L209" s="13" t="str">
        <x:v>[Oh, yeah / no].</x:v>
      </x:c>
      <x:c r="M209" s="13" t="str">
        <x:v>Transcript association</x:v>
      </x:c>
      <x:c r="N209" s="13" t="str"/>
      <x:c r="O209" s="18" t="str">
        <x:v>Not reviewed</x:v>
      </x:c>
      <x:c r="P209" s="19" t="str">
        <x:v>https://afpd-accountability.com/records/openmhz/openmhz-afpd-car-to-car-2026-09-28/dcfems-6001-1790630227.m4a</x:v>
      </x:c>
      <x:c r="Q209" s="19" t="str">
        <x:v>https://afpd-accountability.com/records/openmhz/openmhz-afpd-car-to-car-2026-09-28/dcfems-6001-1790630235.m4a</x:v>
      </x:c>
      <x:c r="R209" s="19" t="str">
        <x:v>https://afpd-accountability.com/police-radio/?date=2026-09-28</x:v>
      </x:c>
      <x:c r="S209" s="13" t="n">
        <x:v>8</x:v>
      </x:c>
    </x:row>
    <x:row r="210" ht="60" customHeight="1">
      <x:c r="A210" s="13" t="str">
        <x:v>E203</x:v>
      </x:c>
      <x:c r="B210" s="13" t="str">
        <x:v>Sam</x:v>
      </x:c>
      <x:c r="C210" s="14" t="n">
        <x:v>46293</x:v>
      </x:c>
      <x:c r="D210" s="13" t="n">
        <x:v>119</x:v>
      </x:c>
      <x:c r="E210" s="15" t="n">
        <x:v>0.643449074074074</x:v>
      </x:c>
      <x:c r="F210" s="16" t="str">
        <x:v>14590019</x:v>
      </x:c>
      <x:c r="G210" s="13" t="n">
        <x:v>120</x:v>
      </x:c>
      <x:c r="H210" s="15" t="n">
        <x:v>0.643587962962963</x:v>
      </x:c>
      <x:c r="I210" s="17" t="n">
        <x:f>ROUND((H210-E210)*86400,0)</x:f>
        <x:v>12</x:v>
      </x:c>
      <x:c r="J210" s="16" t="str">
        <x:v>14590090</x:v>
      </x:c>
      <x:c r="K210" s="13" t="str">
        <x:v>Hey Sam, do you want this case or do you want me to take it?</x:v>
      </x:c>
      <x:c r="L210" s="13" t="str">
        <x:v>If you're backed up on cases, I can take it. Don't worry about it.</x:v>
      </x:c>
      <x:c r="M210" s="13" t="str">
        <x:v>Transcript association</x:v>
      </x:c>
      <x:c r="N210" s="13" t="str">
        <x:v>Owner identifies Sam on 14590090 as Samuel Canizalez. Full exchange wording remains unverified.</x:v>
      </x:c>
      <x:c r="O210" s="18" t="str">
        <x:v>Not reviewed</x:v>
      </x:c>
      <x:c r="P210" s="19" t="str">
        <x:v>https://afpd-accountability.com/records/openmhz/openmhz-afpd-car-to-car-2026-09-28/dcfems-6001-1790630794.m4a</x:v>
      </x:c>
      <x:c r="Q210" s="19" t="str">
        <x:v>https://afpd-accountability.com/records/openmhz/openmhz-afpd-car-to-car-2026-09-28/dcfems-6001-1790630806.m4a</x:v>
      </x:c>
      <x:c r="R210" s="19" t="str">
        <x:v>https://afpd-accountability.com/police-radio/?date=2026-09-28</x:v>
      </x:c>
      <x:c r="S210" s="13" t="n">
        <x:v>12</x:v>
      </x:c>
    </x:row>
    <x:row r="211" ht="60" customHeight="1">
      <x:c r="A211" s="13" t="str">
        <x:v>E204</x:v>
      </x:c>
      <x:c r="B211" s="13" t="str">
        <x:v>Sam</x:v>
      </x:c>
      <x:c r="C211" s="14" t="n">
        <x:v>46293</x:v>
      </x:c>
      <x:c r="D211" s="13" t="n">
        <x:v>171</x:v>
      </x:c>
      <x:c r="E211" s="15" t="n">
        <x:v>0.7070949074074074</x:v>
      </x:c>
      <x:c r="F211" s="16" t="str">
        <x:v>14590019</x:v>
      </x:c>
      <x:c r="G211" s="13" t="n">
        <x:v>172</x:v>
      </x:c>
      <x:c r="H211" s="15" t="n">
        <x:v>0.7071875</x:v>
      </x:c>
      <x:c r="I211" s="17" t="n">
        <x:f>ROUND((H211-E211)*86400,0)</x:f>
        <x:v>8</x:v>
      </x:c>
      <x:c r="J211" s="16" t="str">
        <x:v>14590090</x:v>
      </x:c>
      <x:c r="K211" s="13" t="str">
        <x:v>Hey, Sam, I'll follow you in a minute. It looks like this lady was waving us down.</x:v>
      </x:c>
      <x:c r="L211" s="13" t="str">
        <x:v>Copy.</x:v>
      </x:c>
      <x:c r="M211" s="13" t="str">
        <x:v>Transcript association</x:v>
      </x:c>
      <x:c r="N211" s="13" t="str">
        <x:v>Owner identifies Sam on 14590090 as Samuel Canizalez. Full exchange wording remains unverified.</x:v>
      </x:c>
      <x:c r="O211" s="18" t="str">
        <x:v>Not reviewed</x:v>
      </x:c>
      <x:c r="P211" s="19" t="str">
        <x:v>https://afpd-accountability.com/records/openmhz/openmhz-afpd-car-to-car-2026-09-28/dcfems-6001-1790636293.m4a</x:v>
      </x:c>
      <x:c r="Q211" s="19" t="str">
        <x:v>https://afpd-accountability.com/records/openmhz/openmhz-afpd-car-to-car-2026-09-28/dcfems-6001-1790636301.m4a</x:v>
      </x:c>
      <x:c r="R211" s="19" t="str">
        <x:v>https://afpd-accountability.com/police-radio/?date=2026-09-28</x:v>
      </x:c>
      <x:c r="S211" s="13" t="n">
        <x:v>8</x:v>
      </x:c>
    </x:row>
    <x:row r="212" ht="60" customHeight="1">
      <x:c r="A212" s="13" t="str">
        <x:v>E205</x:v>
      </x:c>
      <x:c r="B212" s="13" t="str">
        <x:v>Sam</x:v>
      </x:c>
      <x:c r="C212" s="14" t="n">
        <x:v>46293</x:v>
      </x:c>
      <x:c r="D212" s="13" t="n">
        <x:v>191</x:v>
      </x:c>
      <x:c r="E212" s="15" t="n">
        <x:v>0.7344212962962963</x:v>
      </x:c>
      <x:c r="F212" s="16" t="str">
        <x:v>14590073</x:v>
      </x:c>
      <x:c r="G212" s="13" t="n">
        <x:v>192</x:v>
      </x:c>
      <x:c r="H212" s="15" t="n">
        <x:v>0.7346296296296296</x:v>
      </x:c>
      <x:c r="I212" s="17" t="n">
        <x:f>ROUND((H212-E212)*86400,0)</x:f>
        <x:v>18</x:v>
      </x:c>
      <x:c r="J212" s="16" t="str">
        <x:v>14590066</x:v>
      </x:c>
      <x:c r="K212" s="13" t="str">
        <x:v>Sam, I'm just [checking on?]. If you've got stuff to do, I can go over there and take care of that.</x:v>
      </x:c>
      <x:c r="L212" s="13" t="str">
        <x:v>Yeah, [some are real / it's horrible?], if you don't mind.</x:v>
      </x:c>
      <x:c r="M212" s="13" t="str">
        <x:v>Transcript association</x:v>
      </x:c>
      <x:c r="N212" s="13" t="str">
        <x:v>Owner identifies Sam on 14590066 as Samuel Canizalez. Full exchange wording remains unverified.</x:v>
      </x:c>
      <x:c r="O212" s="18" t="str">
        <x:v>Not reviewed</x:v>
      </x:c>
      <x:c r="P212" s="19" t="str">
        <x:v>https://afpd-accountability.com/records/openmhz/openmhz-afpd-car-to-car-2026-09-28/dcfems-6001-1790638654.m4a</x:v>
      </x:c>
      <x:c r="Q212" s="19" t="str">
        <x:v>https://afpd-accountability.com/records/openmhz/openmhz-afpd-car-to-car-2026-09-28/dcfems-6001-1790638672.m4a</x:v>
      </x:c>
      <x:c r="R212" s="19" t="str">
        <x:v>https://afpd-accountability.com/police-radio/?date=2026-09-28</x:v>
      </x:c>
      <x:c r="S212" s="13" t="n">
        <x:v>18</x:v>
      </x:c>
    </x:row>
    <x:row r="213" ht="60" customHeight="1">
      <x:c r="A213" s="13" t="str">
        <x:v>E206</x:v>
      </x:c>
      <x:c r="B213" s="13" t="str">
        <x:v>Gonzalez / David</x:v>
      </x:c>
      <x:c r="C213" s="14" t="n">
        <x:v>46293</x:v>
      </x:c>
      <x:c r="D213" s="13" t="n">
        <x:v>218</x:v>
      </x:c>
      <x:c r="E213" s="15" t="n">
        <x:v>0.8779976851851852</x:v>
      </x:c>
      <x:c r="F213" s="16" t="str">
        <x:v>14590030</x:v>
      </x:c>
      <x:c r="G213" s="13" t="n">
        <x:v>219</x:v>
      </x:c>
      <x:c r="H213" s="15" t="n">
        <x:v>0.8780555555555556</x:v>
      </x:c>
      <x:c r="I213" s="17" t="n">
        <x:f>ROUND((H213-E213)*86400,0)</x:f>
        <x:v>5</x:v>
      </x:c>
      <x:c r="J213" s="16" t="str">
        <x:v>14580152</x:v>
      </x:c>
      <x:c r="K213" s="13" t="str">
        <x:v>Hey, David, [will you have my wife?]</x:v>
      </x:c>
      <x:c r="L213" s="13" t="str">
        <x:v>Copy.</x:v>
      </x:c>
      <x:c r="M213" s="13" t="str">
        <x:v>Transcript association</x:v>
      </x:c>
      <x:c r="N213" s="13" t="str"/>
      <x:c r="O213" s="18" t="str">
        <x:v>Not reviewed</x:v>
      </x:c>
      <x:c r="P213" s="19" t="str">
        <x:v>https://afpd-accountability.com/records/openmhz/openmhz-afpd-car-to-car-2026-09-28/dcfems-6001-1790651059.m4a</x:v>
      </x:c>
      <x:c r="Q213" s="19" t="str">
        <x:v>https://afpd-accountability.com/records/openmhz/openmhz-afpd-car-to-car-2026-09-28/dcfems-6001-1790651064.m4a</x:v>
      </x:c>
      <x:c r="R213" s="19" t="str">
        <x:v>https://afpd-accountability.com/police-radio/?date=2026-09-28</x:v>
      </x:c>
      <x:c r="S213" s="13" t="n">
        <x:v>5</x:v>
      </x:c>
    </x:row>
    <x:row r="214" ht="60" customHeight="1">
      <x:c r="A214" s="13" t="str">
        <x:v>E207</x:v>
      </x:c>
      <x:c r="B214" s="13" t="str">
        <x:v>Ron</x:v>
      </x:c>
      <x:c r="C214" s="14" t="n">
        <x:v>46293</x:v>
      </x:c>
      <x:c r="D214" s="13" t="n">
        <x:v>220</x:v>
      </x:c>
      <x:c r="E214" s="15" t="n">
        <x:v>0.8864814814814815</x:v>
      </x:c>
      <x:c r="F214" s="16" t="str">
        <x:v>14590073</x:v>
      </x:c>
      <x:c r="G214" s="13" t="n">
        <x:v>221</x:v>
      </x:c>
      <x:c r="H214" s="15" t="n">
        <x:v>0.8865972222222223</x:v>
      </x:c>
      <x:c r="I214" s="17" t="n">
        <x:f>ROUND((H214-E214)*86400,0)</x:f>
        <x:v>10</x:v>
      </x:c>
      <x:c r="J214" s="16" t="str">
        <x:v>14590037</x:v>
      </x:c>
      <x:c r="K214" s="13" t="str">
        <x:v>Ron, I'm just leaving Walmart now. I got a swing by the PD to grab my body cam, and then I'm going to head up to Highland.</x:v>
      </x:c>
      <x:c r="L214" s="13" t="str">
        <x:v>[Got one, copy / got it].</x:v>
      </x:c>
      <x:c r="M214" s="13" t="str">
        <x:v>Transcript association</x:v>
      </x:c>
      <x:c r="N214" s="13" t="str">
        <x:v>Ron could be a name, nickname, or a transcription of Bronson. Several distinct IDs appear; no roster identity assigned.</x:v>
      </x:c>
      <x:c r="O214" s="18" t="str">
        <x:v>Not reviewed</x:v>
      </x:c>
      <x:c r="P214" s="19" t="str">
        <x:v>https://afpd-accountability.com/records/openmhz/openmhz-afpd-car-to-car-2026-09-28/dcfems-6001-1790651792.m4a</x:v>
      </x:c>
      <x:c r="Q214" s="19" t="str">
        <x:v>https://afpd-accountability.com/records/openmhz/openmhz-afpd-car-to-car-2026-09-28/dcfems-6001-1790651802.m4a</x:v>
      </x:c>
      <x:c r="R214" s="19" t="str">
        <x:v>https://afpd-accountability.com/police-radio/?date=2026-09-28</x:v>
      </x:c>
      <x:c r="S214" s="13" t="n">
        <x:v>10</x:v>
      </x:c>
    </x:row>
    <x:row r="215" ht="60" customHeight="1">
      <x:c r="A215" s="13" t="str">
        <x:v>E208</x:v>
      </x:c>
      <x:c r="B215" s="13" t="str">
        <x:v>McClellan / Dennis</x:v>
      </x:c>
      <x:c r="C215" s="14" t="n">
        <x:v>46294</x:v>
      </x:c>
      <x:c r="D215" s="13" t="n">
        <x:v>79</x:v>
      </x:c>
      <x:c r="E215" s="15" t="n">
        <x:v>0.6543634259259259</x:v>
      </x:c>
      <x:c r="F215" s="16" t="str">
        <x:v>14590079</x:v>
      </x:c>
      <x:c r="G215" s="13" t="n">
        <x:v>80</x:v>
      </x:c>
      <x:c r="H215" s="15" t="n">
        <x:v>0.6544560185185185</x:v>
      </x:c>
      <x:c r="I215" s="17" t="n">
        <x:f>ROUND((H215-E215)*86400,0)</x:f>
        <x:v>8</x:v>
      </x:c>
      <x:c r="J215" s="16" t="str">
        <x:v>14590019</x:v>
      </x:c>
      <x:c r="K215" s="13" t="str">
        <x:v>[Dennis?], once you feel comfortable with that call, you can come over here.</x:v>
      </x:c>
      <x:c r="L215" s="13" t="str">
        <x:v>Copy, I’m almost done.</x:v>
      </x:c>
      <x:c r="M215" s="13" t="str">
        <x:v>Transcript association</x:v>
      </x:c>
      <x:c r="N215" s="13" t="str"/>
      <x:c r="O215" s="18" t="str">
        <x:v>Not reviewed</x:v>
      </x:c>
      <x:c r="P215" s="19" t="str">
        <x:v>https://afpd-accountability.com/records/openmhz/openmhz-afpd-car-to-car-2026-09-29/dcfems-6001-1790718137.m4a</x:v>
      </x:c>
      <x:c r="Q215" s="19" t="str">
        <x:v>https://afpd-accountability.com/records/openmhz/openmhz-afpd-car-to-car-2026-09-29/dcfems-6001-1790718145.m4a</x:v>
      </x:c>
      <x:c r="R215" s="19" t="str">
        <x:v>https://afpd-accountability.com/police-radio/?date=2026-09-29</x:v>
      </x:c>
      <x:c r="S215" s="13" t="n">
        <x:v>8</x:v>
      </x:c>
    </x:row>
    <x:row r="216" ht="60" customHeight="1">
      <x:c r="A216" s="13" t="str">
        <x:v>E209</x:v>
      </x:c>
      <x:c r="B216" s="13" t="str">
        <x:v>Gonzalez / David</x:v>
      </x:c>
      <x:c r="C216" s="14" t="n">
        <x:v>46294</x:v>
      </x:c>
      <x:c r="D216" s="13" t="n">
        <x:v>113</x:v>
      </x:c>
      <x:c r="E216" s="15" t="n">
        <x:v>0.7531828703703703</x:v>
      </x:c>
      <x:c r="F216" s="16" t="str">
        <x:v>14590079</x:v>
      </x:c>
      <x:c r="G216" s="13" t="n">
        <x:v>114</x:v>
      </x:c>
      <x:c r="H216" s="15" t="n">
        <x:v>0.753275462962963</x:v>
      </x:c>
      <x:c r="I216" s="17" t="n">
        <x:f>ROUND((H216-E216)*86400,0)</x:f>
        <x:v>8</x:v>
      </x:c>
      <x:c r="J216" s="16" t="str">
        <x:v>14580152</x:v>
      </x:c>
      <x:c r="K216" s="13" t="str">
        <x:v>David, can you take our 9-1-1? It’s Spanish-speaking.</x:v>
      </x:c>
      <x:c r="L216" s="13" t="str">
        <x:v>Copy.</x:v>
      </x:c>
      <x:c r="M216" s="13" t="str">
        <x:v>Transcript association</x:v>
      </x:c>
      <x:c r="N216" s="13" t="str"/>
      <x:c r="O216" s="18" t="str">
        <x:v>Not reviewed</x:v>
      </x:c>
      <x:c r="P216" s="19" t="str">
        <x:v>https://afpd-accountability.com/records/openmhz/openmhz-afpd-car-to-car-2026-09-29/dcfems-6001-1790726675.m4a</x:v>
      </x:c>
      <x:c r="Q216" s="19" t="str">
        <x:v>https://afpd-accountability.com/records/openmhz/openmhz-afpd-car-to-car-2026-09-29/dcfems-6001-1790726683.m4a</x:v>
      </x:c>
      <x:c r="R216" s="19" t="str">
        <x:v>https://afpd-accountability.com/police-radio/?date=2026-09-29</x:v>
      </x:c>
      <x:c r="S216" s="13" t="n">
        <x:v>8</x:v>
      </x:c>
    </x:row>
    <x:row r="217" ht="60" customHeight="1">
      <x:c r="A217" s="13" t="str">
        <x:v>E210</x:v>
      </x:c>
      <x:c r="B217" s="13" t="str">
        <x:v>Renter</x:v>
      </x:c>
      <x:c r="C217" s="14" t="n">
        <x:v>46295</x:v>
      </x:c>
      <x:c r="D217" s="13" t="n">
        <x:v>23</x:v>
      </x:c>
      <x:c r="E217" s="15" t="n">
        <x:v>0.6591435185185185</x:v>
      </x:c>
      <x:c r="F217" s="16" t="str">
        <x:v>14590084</x:v>
      </x:c>
      <x:c r="G217" s="13" t="n">
        <x:v>24</x:v>
      </x:c>
      <x:c r="H217" s="15" t="n">
        <x:v>0.6592013888888889</x:v>
      </x:c>
      <x:c r="I217" s="17" t="n">
        <x:f>ROUND((H217-E217)*86400,0)</x:f>
        <x:v>5</x:v>
      </x:c>
      <x:c r="J217" s="16" t="str">
        <x:v>14590087</x:v>
      </x:c>
      <x:c r="K217" s="13" t="str">
        <x:v>[Rancher / Prancer?], do you think you’d need or want help on the keep the peace?</x:v>
      </x:c>
      <x:c r="L217" s="13" t="str">
        <x:v>[I’m away there?] right now. I’m not sure; if you want to stop by, that would be cool.</x:v>
      </x:c>
      <x:c r="M217" s="13" t="str">
        <x:v>Transcript association</x:v>
      </x:c>
      <x:c r="N217" s="13" t="str"/>
      <x:c r="O217" s="18" t="str">
        <x:v>Not reviewed</x:v>
      </x:c>
      <x:c r="P217" s="19" t="str">
        <x:v>https://afpd-accountability.com/records/openmhz/openmhz-afpd-car-to-car-2026-09-30/dcfems-6001-1790804950.m4a</x:v>
      </x:c>
      <x:c r="Q217" s="19" t="str">
        <x:v>https://afpd-accountability.com/records/openmhz/openmhz-afpd-car-to-car-2026-09-30/dcfems-6001-1790804955.m4a</x:v>
      </x:c>
      <x:c r="R217" s="19" t="str">
        <x:v>https://afpd-accountability.com/police-radio/?date=2026-09-30</x:v>
      </x:c>
      <x:c r="S217" s="13" t="n">
        <x:v>5</x:v>
      </x:c>
    </x:row>
    <x:row r="218" ht="60" customHeight="1">
      <x:c r="A218" s="13" t="str">
        <x:v>E211</x:v>
      </x:c>
      <x:c r="B218" s="13" t="str">
        <x:v>Jake</x:v>
      </x:c>
      <x:c r="C218" s="14" t="n">
        <x:v>46295</x:v>
      </x:c>
      <x:c r="D218" s="13" t="n">
        <x:v>57</x:v>
      </x:c>
      <x:c r="E218" s="15" t="n">
        <x:v>0.8914236111111111</x:v>
      </x:c>
      <x:c r="F218" s="16" t="str">
        <x:v>14590107</x:v>
      </x:c>
      <x:c r="G218" s="13" t="n">
        <x:v>58</x:v>
      </x:c>
      <x:c r="H218" s="15" t="n">
        <x:v>0.8915625</x:v>
      </x:c>
      <x:c r="I218" s="17" t="n">
        <x:f>ROUND((H218-E218)*86400,0)</x:f>
        <x:v>12</x:v>
      </x:c>
      <x:c r="J218" s="16" t="str">
        <x:v>14590118</x:v>
      </x:c>
      <x:c r="K218" s="13" t="str">
        <x:v>Oh, sorry Jake, I did it. I did it again.</x:v>
      </x:c>
      <x:c r="L218" s="13" t="str">
        <x:v>Sounds good, bro. I’ve almost [done / had] it like ten times tonight.</x:v>
      </x:c>
      <x:c r="M218" s="13" t="str">
        <x:v>Transcript association</x:v>
      </x:c>
      <x:c r="N218" s="13" t="str">
        <x:v>More than one officer on the roster uses Jake or Jacob. These rows preserve the spoken first name only.</x:v>
      </x:c>
      <x:c r="O218" s="18" t="str">
        <x:v>Not reviewed</x:v>
      </x:c>
      <x:c r="P218" s="19" t="str">
        <x:v>https://afpd-accountability.com/records/openmhz/openmhz-afpd-car-to-car-2026-09-30/dcfems-6001-1790825019.m4a</x:v>
      </x:c>
      <x:c r="Q218" s="19" t="str">
        <x:v>https://afpd-accountability.com/records/openmhz/openmhz-afpd-car-to-car-2026-09-30/dcfems-6001-1790825031.m4a</x:v>
      </x:c>
      <x:c r="R218" s="19" t="str">
        <x:v>https://afpd-accountability.com/police-radio/?date=2026-09-30</x:v>
      </x:c>
      <x:c r="S218" s="13" t="n">
        <x:v>12</x:v>
      </x:c>
    </x:row>
    <x:row r="219" ht="60" customHeight="1">
      <x:c r="A219" s="13" t="str">
        <x:v>E212</x:v>
      </x:c>
      <x:c r="B219" s="13" t="str">
        <x:v>Tonga</x:v>
      </x:c>
      <x:c r="C219" s="14" t="n">
        <x:v>46296</x:v>
      </x:c>
      <x:c r="D219" s="13" t="n">
        <x:v>10</x:v>
      </x:c>
      <x:c r="E219" s="15" t="n">
        <x:v>0.0059953703703703705</x:v>
      </x:c>
      <x:c r="F219" s="16" t="str">
        <x:v>14590123</x:v>
      </x:c>
      <x:c r="G219" s="13" t="n">
        <x:v>11</x:v>
      </x:c>
      <x:c r="H219" s="15" t="n">
        <x:v>0.006053240740740741</x:v>
      </x:c>
      <x:c r="I219" s="17" t="n">
        <x:f>ROUND((H219-E219)*86400,0)</x:f>
        <x:v>5</x:v>
      </x:c>
      <x:c r="J219" s="16" t="str">
        <x:v>14590345</x:v>
      </x:c>
      <x:c r="K219" s="13" t="str">
        <x:v>[Tonga / Parker?], that's a negative on that [QJK9?], thanks.</x:v>
      </x:c>
      <x:c r="L219" s="13" t="str">
        <x:v>[Ciao?]</x:v>
      </x:c>
      <x:c r="M219" s="13" t="str">
        <x:v>Transcript association</x:v>
      </x:c>
      <x:c r="N219" s="13" t="str"/>
      <x:c r="O219" s="18" t="str">
        <x:v>Not reviewed</x:v>
      </x:c>
      <x:c r="P219" s="19" t="str">
        <x:v>https://afpd-accountability.com/records/openmhz/openmhz-afpd-car-to-car-2026-10-01/dcfems-6001-1790834918.m4a</x:v>
      </x:c>
      <x:c r="Q219" s="19" t="str">
        <x:v>https://afpd-accountability.com/records/openmhz/openmhz-afpd-car-to-car-2026-10-01/dcfems-6001-1790834923.m4a</x:v>
      </x:c>
      <x:c r="R219" s="19" t="str">
        <x:v>https://afpd-accountability.com/police-radio/?date=2026-10-01</x:v>
      </x:c>
      <x:c r="S219" s="13" t="n">
        <x:v>5</x:v>
      </x:c>
    </x:row>
    <x:row r="220" ht="60" customHeight="1">
      <x:c r="A220" s="13" t="str">
        <x:v>E213</x:v>
      </x:c>
      <x:c r="B220" s="13" t="str">
        <x:v>Mitch</x:v>
      </x:c>
      <x:c r="C220" s="14" t="n">
        <x:v>46296</x:v>
      </x:c>
      <x:c r="D220" s="13" t="n">
        <x:v>15</x:v>
      </x:c>
      <x:c r="E220" s="15" t="n">
        <x:v>0.013217592592592593</x:v>
      </x:c>
      <x:c r="F220" s="16" t="str">
        <x:v>14590123</x:v>
      </x:c>
      <x:c r="G220" s="13" t="n">
        <x:v>16</x:v>
      </x:c>
      <x:c r="H220" s="15" t="n">
        <x:v>0.013344907407407408</x:v>
      </x:c>
      <x:c r="I220" s="17" t="n">
        <x:f>ROUND((H220-E220)*86400,0)</x:f>
        <x:v>11</x:v>
      </x:c>
      <x:c r="J220" s="16" t="str">
        <x:v>14590344</x:v>
      </x:c>
      <x:c r="K220" s="13" t="str">
        <x:v>Mitch, that's the same girl.</x:v>
      </x:c>
      <x:c r="L220" s="13" t="str">
        <x:v>Yes.</x:v>
      </x:c>
      <x:c r="M220" s="13" t="str">
        <x:v>Transcript association</x:v>
      </x:c>
      <x:c r="N220" s="13" t="str">
        <x:v>14590036 also answers Hawkins. Keep 14590344 separate from 14590036 pending audio and assignment confirmation.</x:v>
      </x:c>
      <x:c r="O220" s="18" t="str">
        <x:v>Not reviewed</x:v>
      </x:c>
      <x:c r="P220" s="19" t="str">
        <x:v>https://afpd-accountability.com/records/openmhz/openmhz-afpd-car-to-car-2026-10-01/dcfems-6001-1790835542.m4a</x:v>
      </x:c>
      <x:c r="Q220" s="19" t="str">
        <x:v>https://afpd-accountability.com/records/openmhz/openmhz-afpd-car-to-car-2026-10-01/dcfems-6001-1790835553.m4a</x:v>
      </x:c>
      <x:c r="R220" s="19" t="str">
        <x:v>https://afpd-accountability.com/police-radio/?date=2026-10-01</x:v>
      </x:c>
      <x:c r="S220" s="13" t="n">
        <x:v>11</x:v>
      </x:c>
    </x:row>
    <x:row r="221" ht="60" customHeight="1">
      <x:c r="A221" s="13" t="str">
        <x:v>E214</x:v>
      </x:c>
      <x:c r="B221" s="13" t="str">
        <x:v>Hawkins</x:v>
      </x:c>
      <x:c r="C221" s="14" t="n">
        <x:v>46296</x:v>
      </x:c>
      <x:c r="D221" s="13" t="n">
        <x:v>31</x:v>
      </x:c>
      <x:c r="E221" s="15" t="n">
        <x:v>0.051597222222222225</x:v>
      </x:c>
      <x:c r="F221" s="16" t="str">
        <x:v>14590123</x:v>
      </x:c>
      <x:c r="G221" s="13" t="n">
        <x:v>32</x:v>
      </x:c>
      <x:c r="H221" s="15" t="n">
        <x:v>0.051666666666666666</x:v>
      </x:c>
      <x:c r="I221" s="17" t="n">
        <x:f>ROUND((H221-E221)*86400,0)</x:f>
        <x:v>6</x:v>
      </x:c>
      <x:c r="J221" s="16" t="str">
        <x:v>14590107</x:v>
      </x:c>
      <x:c r="K221" s="13" t="str">
        <x:v>Hawkins, [you're going to take this to me?]</x:v>
      </x:c>
      <x:c r="L221" s="13" t="str">
        <x:v>I don't mind taking it.</x:v>
      </x:c>
      <x:c r="M221" s="13" t="str">
        <x:v>Transcript association</x:v>
      </x:c>
      <x:c r="N221" s="13" t="str"/>
      <x:c r="O221" s="18" t="str">
        <x:v>Not reviewed</x:v>
      </x:c>
      <x:c r="P221" s="19" t="str">
        <x:v>https://afpd-accountability.com/records/openmhz/openmhz-afpd-car-to-car-2026-10-01/dcfems-6001-1790838858.m4a</x:v>
      </x:c>
      <x:c r="Q221" s="19" t="str">
        <x:v>https://afpd-accountability.com/records/openmhz/openmhz-afpd-car-to-car-2026-10-01/dcfems-6001-1790838864.m4a</x:v>
      </x:c>
      <x:c r="R221" s="19" t="str">
        <x:v>https://afpd-accountability.com/police-radio/?date=2026-10-01</x:v>
      </x:c>
      <x:c r="S221" s="13" t="n">
        <x:v>6</x:v>
      </x:c>
    </x:row>
    <x:row r="222" ht="60" customHeight="1">
      <x:c r="A222" s="13" t="str">
        <x:v>E215</x:v>
      </x:c>
      <x:c r="B222" s="13" t="str">
        <x:v>Renter</x:v>
      </x:c>
      <x:c r="C222" s="14" t="n">
        <x:v>46296</x:v>
      </x:c>
      <x:c r="D222" s="13" t="n">
        <x:v>90</x:v>
      </x:c>
      <x:c r="E222" s="15" t="n">
        <x:v>0.560162037037037</x:v>
      </x:c>
      <x:c r="F222" s="16" t="str">
        <x:v>14590111</x:v>
      </x:c>
      <x:c r="G222" s="13" t="n">
        <x:v>91</x:v>
      </x:c>
      <x:c r="H222" s="15" t="n">
        <x:v>0.5602083333333333</x:v>
      </x:c>
      <x:c r="I222" s="17" t="n">
        <x:f>ROUND((H222-E222)*86400,0)</x:f>
        <x:v>4</x:v>
      </x:c>
      <x:c r="J222" s="16" t="str">
        <x:v>14590087</x:v>
      </x:c>
      <x:c r="K222" s="13" t="str">
        <x:v>Hey [Renter?], do you mind coming back?</x:v>
      </x:c>
      <x:c r="L222" s="13" t="str">
        <x:v>Yeah I'll be right there.</x:v>
      </x:c>
      <x:c r="M222" s="13" t="str">
        <x:v>Transcript association</x:v>
      </x:c>
      <x:c r="N222" s="13" t="str"/>
      <x:c r="O222" s="18" t="str">
        <x:v>Not reviewed</x:v>
      </x:c>
      <x:c r="P222" s="19" t="str">
        <x:v>https://afpd-accountability.com/records/openmhz/openmhz-afpd-car-to-car-2026-10-01/dcfems-6001-1790882798.m4a</x:v>
      </x:c>
      <x:c r="Q222" s="19" t="str">
        <x:v>https://afpd-accountability.com/records/openmhz/openmhz-afpd-car-to-car-2026-10-01/dcfems-6001-1790882802.m4a</x:v>
      </x:c>
      <x:c r="R222" s="19" t="str">
        <x:v>https://afpd-accountability.com/police-radio/?date=2026-10-01</x:v>
      </x:c>
      <x:c r="S222" s="13" t="n">
        <x:v>4</x:v>
      </x:c>
    </x:row>
    <x:row r="223" ht="60" customHeight="1">
      <x:c r="A223" s="13" t="str">
        <x:v>E216</x:v>
      </x:c>
      <x:c r="B223" s="13" t="str">
        <x:v>Jake</x:v>
      </x:c>
      <x:c r="C223" s="14" t="n">
        <x:v>46296</x:v>
      </x:c>
      <x:c r="D223" s="13" t="n">
        <x:v>92</x:v>
      </x:c>
      <x:c r="E223" s="15" t="n">
        <x:v>0.5761226851851852</x:v>
      </x:c>
      <x:c r="F223" s="16" t="str">
        <x:v>14590111</x:v>
      </x:c>
      <x:c r="G223" s="13" t="n">
        <x:v>93</x:v>
      </x:c>
      <x:c r="H223" s="15" t="n">
        <x:v>0.5762731481481481</x:v>
      </x:c>
      <x:c r="I223" s="17" t="n">
        <x:f>ROUND((H223-E223)*86400,0)</x:f>
        <x:v>13</x:v>
      </x:c>
      <x:c r="J223" s="16" t="str">
        <x:v>14590118</x:v>
      </x:c>
      <x:c r="K223" s="13" t="str">
        <x:v>Hey Jake, I'm just going to be in the parking lot of the plumbing supply, that south building that's abandoned right now.</x:v>
      </x:c>
      <x:c r="L223" s="13" t="str">
        <x:v>Copy.</x:v>
      </x:c>
      <x:c r="M223" s="13" t="str">
        <x:v>Transcript association</x:v>
      </x:c>
      <x:c r="N223" s="13" t="str">
        <x:v>More than one officer on the roster uses Jake or Jacob. These rows preserve the spoken first name only.</x:v>
      </x:c>
      <x:c r="O223" s="18" t="str">
        <x:v>Not reviewed</x:v>
      </x:c>
      <x:c r="P223" s="19" t="str">
        <x:v>https://afpd-accountability.com/records/openmhz/openmhz-afpd-car-to-car-2026-10-01/dcfems-6001-1790884177.m4a</x:v>
      </x:c>
      <x:c r="Q223" s="19" t="str">
        <x:v>https://afpd-accountability.com/records/openmhz/openmhz-afpd-car-to-car-2026-10-01/dcfems-6001-1790884190.m4a</x:v>
      </x:c>
      <x:c r="R223" s="19" t="str">
        <x:v>https://afpd-accountability.com/police-radio/?date=2026-10-01</x:v>
      </x:c>
      <x:c r="S223" s="13" t="n">
        <x:v>13</x:v>
      </x:c>
    </x:row>
    <x:row r="224" ht="60" customHeight="1">
      <x:c r="A224" s="13" t="str">
        <x:v>E217</x:v>
      </x:c>
      <x:c r="B224" s="13" t="str">
        <x:v>Diego / Garcia</x:v>
      </x:c>
      <x:c r="C224" s="14" t="n">
        <x:v>46296</x:v>
      </x:c>
      <x:c r="D224" s="13" t="n">
        <x:v>102</x:v>
      </x:c>
      <x:c r="E224" s="15" t="n">
        <x:v>0.5805324074074074</x:v>
      </x:c>
      <x:c r="F224" s="16" t="str">
        <x:v>14590118</x:v>
      </x:c>
      <x:c r="G224" s="13" t="n">
        <x:v>103</x:v>
      </x:c>
      <x:c r="H224" s="15" t="n">
        <x:v>0.5806481481481481</x:v>
      </x:c>
      <x:c r="I224" s="17" t="n">
        <x:f>ROUND((H224-E224)*86400,0)</x:f>
        <x:v>10</x:v>
      </x:c>
      <x:c r="J224" s="16" t="str">
        <x:v>14590111</x:v>
      </x:c>
      <x:c r="K224" s="13" t="str">
        <x:v>Hey Diego, that's him that just walked out by himself. He just slammed his backpack on the ground and walked in.</x:v>
      </x:c>
      <x:c r="L224" s="13" t="str">
        <x:v>Okay, from my position I actually can't see the front door.</x:v>
      </x:c>
      <x:c r="M224" s="13" t="str">
        <x:v>Transcript association</x:v>
      </x:c>
      <x:c r="N224" s="13" t="str"/>
      <x:c r="O224" s="18" t="str">
        <x:v>Not reviewed</x:v>
      </x:c>
      <x:c r="P224" s="19" t="str">
        <x:v>https://afpd-accountability.com/records/openmhz/openmhz-afpd-car-to-car-2026-10-01/dcfems-6001-1790884558.m4a</x:v>
      </x:c>
      <x:c r="Q224" s="19" t="str">
        <x:v>https://afpd-accountability.com/records/openmhz/openmhz-afpd-car-to-car-2026-10-01/dcfems-6001-1790884568.m4a</x:v>
      </x:c>
      <x:c r="R224" s="19" t="str">
        <x:v>https://afpd-accountability.com/police-radio/?date=2026-10-01</x:v>
      </x:c>
      <x:c r="S224" s="13" t="n">
        <x:v>10</x:v>
      </x:c>
    </x:row>
    <x:row r="225" ht="60" customHeight="1">
      <x:c r="A225" s="13" t="str">
        <x:v>E218</x:v>
      </x:c>
      <x:c r="B225" s="13" t="str">
        <x:v>Richardson / Cole</x:v>
      </x:c>
      <x:c r="C225" s="14" t="n">
        <x:v>46296</x:v>
      </x:c>
      <x:c r="D225" s="13" t="n">
        <x:v>135</x:v>
      </x:c>
      <x:c r="E225" s="15" t="n">
        <x:v>0.7949305555555556</x:v>
      </x:c>
      <x:c r="F225" s="16" t="str">
        <x:v>14590292</x:v>
      </x:c>
      <x:c r="G225" s="13" t="n">
        <x:v>136</x:v>
      </x:c>
      <x:c r="H225" s="15" t="n">
        <x:v>0.7950231481481481</x:v>
      </x:c>
      <x:c r="I225" s="17" t="n">
        <x:f>ROUND((H225-E225)*86400,0)</x:f>
        <x:v>8</x:v>
      </x:c>
      <x:c r="J225" s="16" t="str">
        <x:v>14590123</x:v>
      </x:c>
      <x:c r="K225" s="13" t="str">
        <x:v>Hey Richardson, do you still need her insurance to get it off the [28?]</x:v>
      </x:c>
      <x:c r="L225" s="13" t="str">
        <x:v>I got it off the [28?]. I just printed the driver exchange.</x:v>
      </x:c>
      <x:c r="M225" s="13" t="str">
        <x:v>Transcript association</x:v>
      </x:c>
      <x:c r="N225" s="13" t="str"/>
      <x:c r="O225" s="18" t="str">
        <x:v>Not reviewed</x:v>
      </x:c>
      <x:c r="P225" s="19" t="str">
        <x:v>https://afpd-accountability.com/records/openmhz/openmhz-afpd-car-to-car-2026-10-01/dcfems-6001-1790903082.m4a</x:v>
      </x:c>
      <x:c r="Q225" s="19" t="str">
        <x:v>https://afpd-accountability.com/records/openmhz/openmhz-afpd-car-to-car-2026-10-01/dcfems-6001-1790903090.m4a</x:v>
      </x:c>
      <x:c r="R225" s="19" t="str">
        <x:v>https://afpd-accountability.com/police-radio/?date=2026-10-01</x:v>
      </x:c>
      <x:c r="S225" s="13" t="n">
        <x:v>8</x:v>
      </x:c>
    </x:row>
    <x:row r="226" ht="60" customHeight="1">
      <x:c r="A226" s="13" t="str">
        <x:v>E219</x:v>
      </x:c>
      <x:c r="B226" s="13" t="str">
        <x:v>Hawkins</x:v>
      </x:c>
      <x:c r="C226" s="14" t="n">
        <x:v>46296</x:v>
      </x:c>
      <x:c r="D226" s="13" t="n">
        <x:v>181</x:v>
      </x:c>
      <x:c r="E226" s="15" t="n">
        <x:v>0.9996180555555556</x:v>
      </x:c>
      <x:c r="F226" s="16" t="str">
        <x:v>14590123</x:v>
      </x:c>
      <x:c r="G226" s="13" t="n">
        <x:v>182</x:v>
      </x:c>
      <x:c r="H226" s="15" t="n">
        <x:v>0.9996643518518519</x:v>
      </x:c>
      <x:c r="I226" s="17" t="n">
        <x:f>ROUND((H226-E226)*86400,0)</x:f>
        <x:v>4</x:v>
      </x:c>
      <x:c r="J226" s="16" t="str">
        <x:v>14590107</x:v>
      </x:c>
      <x:c r="K226" s="13" t="str">
        <x:v>Hawkins, [with address?]</x:v>
      </x:c>
      <x:c r="L226" s="13" t="str">
        <x:v>659 north 540 west.</x:v>
      </x:c>
      <x:c r="M226" s="13" t="str">
        <x:v>Transcript association</x:v>
      </x:c>
      <x:c r="N226" s="13" t="str"/>
      <x:c r="O226" s="18" t="str">
        <x:v>Not reviewed</x:v>
      </x:c>
      <x:c r="P226" s="19" t="str">
        <x:v>https://afpd-accountability.com/records/openmhz/openmhz-afpd-car-to-car-2026-10-01/dcfems-6001-1790920767.m4a</x:v>
      </x:c>
      <x:c r="Q226" s="19" t="str">
        <x:v>https://afpd-accountability.com/records/openmhz/openmhz-afpd-car-to-car-2026-10-01/dcfems-6001-1790920771.m4a</x:v>
      </x:c>
      <x:c r="R226" s="19" t="str">
        <x:v>https://afpd-accountability.com/police-radio/?date=2026-10-01</x:v>
      </x:c>
      <x:c r="S226" s="13" t="n">
        <x:v>4</x:v>
      </x:c>
    </x:row>
    <x:row r="227" ht="60" customHeight="1">
      <x:c r="A227" s="13" t="str">
        <x:v>E220</x:v>
      </x:c>
      <x:c r="B227" s="13" t="str">
        <x:v>Hawkins</x:v>
      </x:c>
      <x:c r="C227" s="14" t="n">
        <x:v>46297</x:v>
      </x:c>
      <x:c r="D227" s="13" t="n">
        <x:v>23</x:v>
      </x:c>
      <x:c r="E227" s="15" t="n">
        <x:v>0.24368055555555557</x:v>
      </x:c>
      <x:c r="F227" s="16" t="str">
        <x:v>14590045</x:v>
      </x:c>
      <x:c r="G227" s="13" t="n">
        <x:v>24</x:v>
      </x:c>
      <x:c r="H227" s="15" t="n">
        <x:v>0.24372685185185186</x:v>
      </x:c>
      <x:c r="I227" s="17" t="n">
        <x:f>ROUND((H227-E227)*86400,0)</x:f>
        <x:v>4</x:v>
      </x:c>
      <x:c r="J227" s="16" t="str">
        <x:v>14590107</x:v>
      </x:c>
      <x:c r="K227" s="13" t="str">
        <x:v>Hey Hawkins, did you take that wrap out?</x:v>
      </x:c>
      <x:c r="L227" s="13" t="str">
        <x:v>Yeah, it's in the closet.</x:v>
      </x:c>
      <x:c r="M227" s="13" t="str">
        <x:v>Transcript association</x:v>
      </x:c>
      <x:c r="N227" s="13" t="str"/>
      <x:c r="O227" s="18" t="str">
        <x:v>Not reviewed</x:v>
      </x:c>
      <x:c r="P227" s="19" t="str">
        <x:v>https://afpd-accountability.com/records/openmhz/openmhz-afpd-car-to-car-2026-10-02/dcfems-6001-1790941854.m4a</x:v>
      </x:c>
      <x:c r="Q227" s="19" t="str">
        <x:v>https://afpd-accountability.com/records/openmhz/openmhz-afpd-car-to-car-2026-10-02/dcfems-6001-1790941858.m4a</x:v>
      </x:c>
      <x:c r="R227" s="19" t="str">
        <x:v>https://afpd-accountability.com/police-radio/?date=2026-10-02</x:v>
      </x:c>
      <x:c r="S227" s="13" t="n">
        <x:v>4</x:v>
      </x:c>
    </x:row>
    <x:row r="228" ht="60" customHeight="1">
      <x:c r="A228" s="13" t="str">
        <x:v>E221</x:v>
      </x:c>
      <x:c r="B228" s="13" t="str">
        <x:v>McClellan / Dennis</x:v>
      </x:c>
      <x:c r="C228" s="14" t="n">
        <x:v>46297</x:v>
      </x:c>
      <x:c r="D228" s="13" t="n">
        <x:v>43</x:v>
      </x:c>
      <x:c r="E228" s="15" t="n">
        <x:v>0.5646180555555556</x:v>
      </x:c>
      <x:c r="F228" s="16" t="str">
        <x:v>14590090</x:v>
      </x:c>
      <x:c r="G228" s="13" t="n">
        <x:v>44</x:v>
      </x:c>
      <x:c r="H228" s="15" t="n">
        <x:v>0.5647106481481482</x:v>
      </x:c>
      <x:c r="I228" s="17" t="n">
        <x:f>ROUND((H228-E228)*86400,0)</x:f>
        <x:v>8</x:v>
      </x:c>
      <x:c r="J228" s="16" t="str">
        <x:v>14590019</x:v>
      </x:c>
      <x:c r="K228" s="13" t="str">
        <x:v>Well Dennis, [that's a one for driving today?]</x:v>
      </x:c>
      <x:c r="L228" s="13" t="str">
        <x:v>I tried.</x:v>
      </x:c>
      <x:c r="M228" s="13" t="str">
        <x:v>Transcript association</x:v>
      </x:c>
      <x:c r="N228" s="13" t="str"/>
      <x:c r="O228" s="18" t="str">
        <x:v>Not reviewed</x:v>
      </x:c>
      <x:c r="P228" s="19" t="str">
        <x:v>https://afpd-accountability.com/records/openmhz/openmhz-afpd-car-to-car-2026-10-02/dcfems-6001-1790969583.m4a</x:v>
      </x:c>
      <x:c r="Q228" s="19" t="str">
        <x:v>https://afpd-accountability.com/records/openmhz/openmhz-afpd-car-to-car-2026-10-02/dcfems-6001-1790969591.m4a</x:v>
      </x:c>
      <x:c r="R228" s="19" t="str">
        <x:v>https://afpd-accountability.com/police-radio/?date=2026-10-02</x:v>
      </x:c>
      <x:c r="S228" s="13" t="n">
        <x:v>8</x:v>
      </x:c>
    </x:row>
    <x:row r="229" ht="60" customHeight="1">
      <x:c r="A229" s="13" t="str">
        <x:v>E222</x:v>
      </x:c>
      <x:c r="B229" s="13" t="str">
        <x:v>Somerville</x:v>
      </x:c>
      <x:c r="C229" s="14" t="n">
        <x:v>46297</x:v>
      </x:c>
      <x:c r="D229" s="13" t="n">
        <x:v>160</x:v>
      </x:c>
      <x:c r="E229" s="15" t="n">
        <x:v>0.8915277777777778</x:v>
      </x:c>
      <x:c r="F229" s="16" t="str">
        <x:v>14580152</x:v>
      </x:c>
      <x:c r="G229" s="13" t="n">
        <x:v>161</x:v>
      </x:c>
      <x:c r="H229" s="15" t="n">
        <x:v>0.8915856481481481</x:v>
      </x:c>
      <x:c r="I229" s="17" t="n">
        <x:f>ROUND((H229-E229)*86400,0)</x:f>
        <x:v>5</x:v>
      </x:c>
      <x:c r="J229" s="16" t="str">
        <x:v>14590042</x:v>
      </x:c>
      <x:c r="K229" s="13" t="str">
        <x:v>Hey Somerville</x:v>
      </x:c>
      <x:c r="L229" s="13" t="str">
        <x:v>Go ahead.</x:v>
      </x:c>
      <x:c r="M229" s="13" t="str">
        <x:v>Transcript association</x:v>
      </x:c>
      <x:c r="N229" s="13" t="str"/>
      <x:c r="O229" s="18" t="str">
        <x:v>Not reviewed</x:v>
      </x:c>
      <x:c r="P229" s="19" t="str">
        <x:v>https://afpd-accountability.com/records/openmhz/openmhz-afpd-car-to-car-2026-10-02/dcfems-6001-1790997828.m4a</x:v>
      </x:c>
      <x:c r="Q229" s="19" t="str">
        <x:v>https://afpd-accountability.com/records/openmhz/openmhz-afpd-car-to-car-2026-10-02/dcfems-6001-1790997833.m4a</x:v>
      </x:c>
      <x:c r="R229" s="19" t="str">
        <x:v>https://afpd-accountability.com/police-radio/?date=2026-10-02</x:v>
      </x:c>
      <x:c r="S229" s="13" t="n">
        <x:v>5</x:v>
      </x:c>
    </x:row>
    <x:row r="230" ht="60" customHeight="1">
      <x:c r="A230" s="13" t="str">
        <x:v>E223</x:v>
      </x:c>
      <x:c r="B230" s="13" t="str">
        <x:v>Somerville</x:v>
      </x:c>
      <x:c r="C230" s="14" t="n">
        <x:v>46297</x:v>
      </x:c>
      <x:c r="D230" s="13" t="n">
        <x:v>201</x:v>
      </x:c>
      <x:c r="E230" s="15" t="n">
        <x:v>0.9295023148148148</x:v>
      </x:c>
      <x:c r="F230" s="16" t="str">
        <x:v>14590114</x:v>
      </x:c>
      <x:c r="G230" s="13" t="n">
        <x:v>202</x:v>
      </x:c>
      <x:c r="H230" s="15" t="n">
        <x:v>0.9295949074074074</x:v>
      </x:c>
      <x:c r="I230" s="17" t="n">
        <x:f>ROUND((H230-E230)*86400,0)</x:f>
        <x:v>8</x:v>
      </x:c>
      <x:c r="J230" s="16" t="str">
        <x:v>14590073</x:v>
      </x:c>
      <x:c r="K230" s="13" t="str">
        <x:v>Well Somerville, since you were cheering for Lehi, you have to sit in the hall and eat your food.</x:v>
      </x:c>
      <x:c r="L230" s="13" t="str">
        <x:v>Pretty sure Lehi won, so I think that means you guys have to sit in the hall.</x:v>
      </x:c>
      <x:c r="M230" s="13" t="str">
        <x:v>Transcript association</x:v>
      </x:c>
      <x:c r="N230" s="13" t="str"/>
      <x:c r="O230" s="18" t="str">
        <x:v>Not reviewed</x:v>
      </x:c>
      <x:c r="P230" s="19" t="str">
        <x:v>https://afpd-accountability.com/records/openmhz/openmhz-afpd-car-to-car-2026-10-02/dcfems-6001-1791001109.m4a</x:v>
      </x:c>
      <x:c r="Q230" s="19" t="str">
        <x:v>https://afpd-accountability.com/records/openmhz/openmhz-afpd-car-to-car-2026-10-02/dcfems-6001-1791001117.m4a</x:v>
      </x:c>
      <x:c r="R230" s="19" t="str">
        <x:v>https://afpd-accountability.com/police-radio/?date=2026-10-02</x:v>
      </x:c>
      <x:c r="S230" s="13" t="n">
        <x:v>8</x:v>
      </x:c>
    </x:row>
    <x:row r="231" ht="60" customHeight="1">
      <x:c r="A231" s="13" t="str">
        <x:v>E224</x:v>
      </x:c>
      <x:c r="B231" s="13" t="str">
        <x:v>Jackie</x:v>
      </x:c>
      <x:c r="C231" s="14" t="n">
        <x:v>46298</x:v>
      </x:c>
      <x:c r="D231" s="13" t="n">
        <x:v>11</x:v>
      </x:c>
      <x:c r="E231" s="15" t="n">
        <x:v>0.004409722222222222</x:v>
      </x:c>
      <x:c r="F231" s="16" t="str">
        <x:v>14590073</x:v>
      </x:c>
      <x:c r="G231" s="13" t="n">
        <x:v>12</x:v>
      </x:c>
      <x:c r="H231" s="15" t="n">
        <x:v>0.004502314814814815</x:v>
      </x:c>
      <x:c r="I231" s="17" t="n">
        <x:f>ROUND((H231-E231)*86400,0)</x:f>
        <x:v>8</x:v>
      </x:c>
      <x:c r="J231" s="16" t="str">
        <x:v>14590104</x:v>
      </x:c>
      <x:c r="K231" s="13" t="str">
        <x:v>Jackie, I'm headed that way for my follow-up. Let me know if you need me to step it up.</x:v>
      </x:c>
      <x:c r="L231" s="13" t="str">
        <x:v>You're good. I just need someone with a good [zipper?]</x:v>
      </x:c>
      <x:c r="M231" s="13" t="str">
        <x:v>Transcript association</x:v>
      </x:c>
      <x:c r="N231" s="13" t="str">
        <x:v>Mostly 14590104 and 14590200; 14590103 has only one uncertain exchange. No roster identity assigned from the nickname alone.</x:v>
      </x:c>
      <x:c r="O231" s="18" t="str">
        <x:v>Not reviewed</x:v>
      </x:c>
      <x:c r="P231" s="19" t="str">
        <x:v>https://afpd-accountability.com/records/openmhz/openmhz-afpd-car-to-car-2026-10-03/dcfems-6001-1791007581.m4a</x:v>
      </x:c>
      <x:c r="Q231" s="19" t="str">
        <x:v>https://afpd-accountability.com/records/openmhz/openmhz-afpd-car-to-car-2026-10-03/dcfems-6001-1791007589.m4a</x:v>
      </x:c>
      <x:c r="R231" s="19" t="str">
        <x:v>https://afpd-accountability.com/police-radio/?date=2026-10-03</x:v>
      </x:c>
      <x:c r="S231" s="13" t="n">
        <x:v>8</x:v>
      </x:c>
    </x:row>
    <x:row r="232" ht="60" customHeight="1">
      <x:c r="A232" s="13" t="str">
        <x:v>E225</x:v>
      </x:c>
      <x:c r="B232" s="13" t="str">
        <x:v>Luke</x:v>
      </x:c>
      <x:c r="C232" s="14" t="n">
        <x:v>46298</x:v>
      </x:c>
      <x:c r="D232" s="13" t="n">
        <x:v>81</x:v>
      </x:c>
      <x:c r="E232" s="15" t="n">
        <x:v>0.39123842592592595</x:v>
      </x:c>
      <x:c r="F232" s="16" t="str">
        <x:v>14590268</x:v>
      </x:c>
      <x:c r="G232" s="13" t="n">
        <x:v>82</x:v>
      </x:c>
      <x:c r="H232" s="15" t="n">
        <x:v>0.39131944444444444</x:v>
      </x:c>
      <x:c r="I232" s="17" t="n">
        <x:f>ROUND((H232-E232)*86400,0)</x:f>
        <x:v>7</x:v>
      </x:c>
      <x:c r="J232" s="16" t="str">
        <x:v>14590320</x:v>
      </x:c>
      <x:c r="K232" s="13" t="str">
        <x:v>Hey Luke, [J&amp;N Sons?] is en route for that car.</x:v>
      </x:c>
      <x:c r="L232" s="13" t="str">
        <x:v>Copy.</x:v>
      </x:c>
      <x:c r="M232" s="13" t="str">
        <x:v>Transcript association</x:v>
      </x:c>
      <x:c r="N232" s="13" t="str"/>
      <x:c r="O232" s="18" t="str">
        <x:v>Not reviewed</x:v>
      </x:c>
      <x:c r="P232" s="19" t="str">
        <x:v>https://afpd-accountability.com/records/openmhz/openmhz-afpd-car-to-car-2026-10-03/dcfems-6001-1791041003.m4a</x:v>
      </x:c>
      <x:c r="Q232" s="19" t="str">
        <x:v>https://afpd-accountability.com/records/openmhz/openmhz-afpd-car-to-car-2026-10-03/dcfems-6001-1791041010.m4a</x:v>
      </x:c>
      <x:c r="R232" s="19" t="str">
        <x:v>https://afpd-accountability.com/police-radio/?date=2026-10-03</x:v>
      </x:c>
      <x:c r="S232" s="13" t="n">
        <x:v>7</x:v>
      </x:c>
    </x:row>
    <x:row r="233" ht="60" customHeight="1">
      <x:c r="A233" s="13" t="str">
        <x:v>E226</x:v>
      </x:c>
      <x:c r="B233" s="13" t="str">
        <x:v>McClellan / Dennis</x:v>
      </x:c>
      <x:c r="C233" s="14" t="n">
        <x:v>46298</x:v>
      </x:c>
      <x:c r="D233" s="13" t="n">
        <x:v>104</x:v>
      </x:c>
      <x:c r="E233" s="15" t="n">
        <x:v>0.6221527777777778</x:v>
      </x:c>
      <x:c r="F233" s="16" t="str">
        <x:v>14590090</x:v>
      </x:c>
      <x:c r="G233" s="13" t="n">
        <x:v>105</x:v>
      </x:c>
      <x:c r="H233" s="15" t="n">
        <x:v>0.6222106481481482</x:v>
      </x:c>
      <x:c r="I233" s="17" t="n">
        <x:f>ROUND((H233-E233)*86400,0)</x:f>
        <x:v>5</x:v>
      </x:c>
      <x:c r="J233" s="16" t="str">
        <x:v>14590019</x:v>
      </x:c>
      <x:c r="K233" s="13" t="str">
        <x:v>[Gonna throw you out / Dennis, where are you at?]</x:v>
      </x:c>
      <x:c r="L233" s="13" t="str">
        <x:v>[I'm on through engineer / all on 3rd and 2nd?]</x:v>
      </x:c>
      <x:c r="M233" s="13" t="str">
        <x:v>Transcript association</x:v>
      </x:c>
      <x:c r="N233" s="13" t="str"/>
      <x:c r="O233" s="18" t="str">
        <x:v>Not reviewed</x:v>
      </x:c>
      <x:c r="P233" s="19" t="str">
        <x:v>https://afpd-accountability.com/records/openmhz/openmhz-afpd-car-to-car-2026-10-03/dcfems-6001-1791060954.m4a</x:v>
      </x:c>
      <x:c r="Q233" s="19" t="str">
        <x:v>https://afpd-accountability.com/records/openmhz/openmhz-afpd-car-to-car-2026-10-03/dcfems-6001-1791060959.m4a</x:v>
      </x:c>
      <x:c r="R233" s="19" t="str">
        <x:v>https://afpd-accountability.com/police-radio/?date=2026-10-03</x:v>
      </x:c>
      <x:c r="S233" s="13" t="n">
        <x:v>5</x:v>
      </x:c>
    </x:row>
    <x:row r="234" ht="60" customHeight="1">
      <x:c r="A234" s="13" t="str">
        <x:v>E227</x:v>
      </x:c>
      <x:c r="B234" s="13" t="str">
        <x:v>Somerville</x:v>
      </x:c>
      <x:c r="C234" s="14" t="n">
        <x:v>46298</x:v>
      </x:c>
      <x:c r="D234" s="13" t="n">
        <x:v>150</x:v>
      </x:c>
      <x:c r="E234" s="15" t="n">
        <x:v>0.7912847222222222</x:v>
      </x:c>
      <x:c r="F234" s="16" t="str">
        <x:v>14590114</x:v>
      </x:c>
      <x:c r="G234" s="13" t="n">
        <x:v>151</x:v>
      </x:c>
      <x:c r="H234" s="15" t="n">
        <x:v>0.7913657407407407</x:v>
      </x:c>
      <x:c r="I234" s="17" t="n">
        <x:f>ROUND((H234-E234)*86400,0)</x:f>
        <x:v>7</x:v>
      </x:c>
      <x:c r="J234" s="16" t="str">
        <x:v>14590073</x:v>
      </x:c>
      <x:c r="K234" s="13" t="str">
        <x:v>Hey Somerville, that Jeep said it passed you out on North County.</x:v>
      </x:c>
      <x:c r="L234" s="13" t="str">
        <x:v>Sorry, I was just finishing up my traffic stop. What's going on?</x:v>
      </x:c>
      <x:c r="M234" s="13" t="str">
        <x:v>Transcript association</x:v>
      </x:c>
      <x:c r="N234" s="13" t="str"/>
      <x:c r="O234" s="18" t="str">
        <x:v>Not reviewed</x:v>
      </x:c>
      <x:c r="P234" s="19" t="str">
        <x:v>https://afpd-accountability.com/records/openmhz/openmhz-afpd-car-to-car-2026-10-03/dcfems-6001-1791075567.m4a</x:v>
      </x:c>
      <x:c r="Q234" s="19" t="str">
        <x:v>https://afpd-accountability.com/records/openmhz/openmhz-afpd-car-to-car-2026-10-03/dcfems-6001-1791075574.m4a</x:v>
      </x:c>
      <x:c r="R234" s="19" t="str">
        <x:v>https://afpd-accountability.com/police-radio/?date=2026-10-03</x:v>
      </x:c>
      <x:c r="S234" s="13" t="n">
        <x:v>7</x:v>
      </x:c>
    </x:row>
    <x:row r="235" ht="60" customHeight="1">
      <x:c r="A235" s="13" t="str">
        <x:v>E228</x:v>
      </x:c>
      <x:c r="B235" s="13" t="str">
        <x:v>Murray</x:v>
      </x:c>
      <x:c r="C235" s="14" t="n">
        <x:v>46298</x:v>
      </x:c>
      <x:c r="D235" s="13" t="n">
        <x:v>188</x:v>
      </x:c>
      <x:c r="E235" s="15" t="n">
        <x:v>0.921412037037037</x:v>
      </x:c>
      <x:c r="F235" s="16" t="str">
        <x:v>14590085</x:v>
      </x:c>
      <x:c r="G235" s="13" t="n">
        <x:v>190</x:v>
      </x:c>
      <x:c r="H235" s="15" t="n">
        <x:v>0.9215856481481481</x:v>
      </x:c>
      <x:c r="I235" s="17" t="n">
        <x:f>ROUND((H235-E235)*86400,0)</x:f>
        <x:v>15</x:v>
      </x:c>
      <x:c r="J235" s="16" t="str">
        <x:v>14590266</x:v>
      </x:c>
      <x:c r="K235" s="13" t="str">
        <x:v>[Murray on here?]</x:v>
      </x:c>
      <x:c r="L235" s="13" t="str">
        <x:v>Let's bring them back if you have them. Come to that north parking lot or if you want to send me a photo front and back. I'll look at the photo.</x:v>
      </x:c>
      <x:c r="M235" s="13" t="str">
        <x:v>Transcript association</x:v>
      </x:c>
      <x:c r="N235" s="13" t="str"/>
      <x:c r="O235" s="18" t="str">
        <x:v>Not reviewed</x:v>
      </x:c>
      <x:c r="P235" s="19" t="str">
        <x:v>https://afpd-accountability.com/records/openmhz/openmhz-afpd-car-to-car-2026-10-03/dcfems-6001-1791086810.m4a</x:v>
      </x:c>
      <x:c r="Q235" s="19" t="str">
        <x:v>https://afpd-accountability.com/records/openmhz/openmhz-afpd-car-to-car-2026-10-03/dcfems-6001-1791086825.m4a</x:v>
      </x:c>
      <x:c r="R235" s="19" t="str">
        <x:v>https://afpd-accountability.com/police-radio/?date=2026-10-03</x:v>
      </x:c>
      <x:c r="S235" s="13" t="n">
        <x:v>15</x:v>
      </x:c>
    </x:row>
    <x:row r="236" ht="60" customHeight="1">
      <x:c r="A236" s="13" t="str">
        <x:v>E229</x:v>
      </x:c>
      <x:c r="B236" s="13" t="str">
        <x:v>Murray</x:v>
      </x:c>
      <x:c r="C236" s="14" t="n">
        <x:v>46298</x:v>
      </x:c>
      <x:c r="D236" s="13" t="n">
        <x:v>205</x:v>
      </x:c>
      <x:c r="E236" s="15" t="n">
        <x:v>0.9466435185185185</x:v>
      </x:c>
      <x:c r="F236" s="16" t="str">
        <x:v>14590185</x:v>
      </x:c>
      <x:c r="G236" s="13" t="n">
        <x:v>206</x:v>
      </x:c>
      <x:c r="H236" s="15" t="n">
        <x:v>0.9467129629629629</x:v>
      </x:c>
      <x:c r="I236" s="17" t="n">
        <x:f>ROUND((H236-E236)*86400,0)</x:f>
        <x:v>6</x:v>
      </x:c>
      <x:c r="J236" s="16" t="str">
        <x:v>14590266</x:v>
      </x:c>
      <x:c r="K236" s="13" t="str">
        <x:v>[No / you know?], Murray, if you'd just control your kids, we wouldn't have to deal with them.</x:v>
      </x:c>
      <x:c r="L236" s="13" t="str">
        <x:v>Hey, they're [Lone Peak's?], not mine.</x:v>
      </x:c>
      <x:c r="M236" s="13" t="str">
        <x:v>Transcript association</x:v>
      </x:c>
      <x:c r="N236" s="13" t="str"/>
      <x:c r="O236" s="18" t="str">
        <x:v>Not reviewed</x:v>
      </x:c>
      <x:c r="P236" s="19" t="str">
        <x:v>https://afpd-accountability.com/records/openmhz/openmhz-afpd-car-to-car-2026-10-03/dcfems-6001-1791088990.m4a</x:v>
      </x:c>
      <x:c r="Q236" s="19" t="str">
        <x:v>https://afpd-accountability.com/records/openmhz/openmhz-afpd-car-to-car-2026-10-03/dcfems-6001-1791088996.m4a</x:v>
      </x:c>
      <x:c r="R236" s="19" t="str">
        <x:v>https://afpd-accountability.com/police-radio/?date=2026-10-03</x:v>
      </x:c>
      <x:c r="S236" s="13" t="n">
        <x:v>6</x:v>
      </x:c>
    </x:row>
    <x:row r="237" ht="60" customHeight="1">
      <x:c r="A237" s="13" t="str">
        <x:v>E230</x:v>
      </x:c>
      <x:c r="B237" s="13" t="str">
        <x:v>Gonzalez / David</x:v>
      </x:c>
      <x:c r="C237" s="14" t="n">
        <x:v>46298</x:v>
      </x:c>
      <x:c r="D237" s="13" t="n">
        <x:v>220</x:v>
      </x:c>
      <x:c r="E237" s="15" t="n">
        <x:v>0.9980092592592592</x:v>
      </x:c>
      <x:c r="F237" s="16" t="str">
        <x:v>14590073</x:v>
      </x:c>
      <x:c r="G237" s="13" t="n">
        <x:v>221</x:v>
      </x:c>
      <x:c r="H237" s="15" t="n">
        <x:v>0.9980671296296296</x:v>
      </x:c>
      <x:c r="I237" s="17" t="n">
        <x:f>ROUND((H237-E237)*86400,0)</x:f>
        <x:v>5</x:v>
      </x:c>
      <x:c r="J237" s="16" t="str">
        <x:v>14580152</x:v>
      </x:c>
      <x:c r="K237" s="13" t="str">
        <x:v>Hey David, John here.</x:v>
      </x:c>
      <x:c r="L237" s="13" t="str">
        <x:v>[And what's up / and with us?]</x:v>
      </x:c>
      <x:c r="M237" s="13" t="str">
        <x:v>Transcript association</x:v>
      </x:c>
      <x:c r="N237" s="13" t="str"/>
      <x:c r="O237" s="18" t="str">
        <x:v>Not reviewed</x:v>
      </x:c>
      <x:c r="P237" s="19" t="str">
        <x:v>https://afpd-accountability.com/records/openmhz/openmhz-afpd-car-to-car-2026-10-03/dcfems-6001-1791093428.m4a</x:v>
      </x:c>
      <x:c r="Q237" s="19" t="str">
        <x:v>https://afpd-accountability.com/records/openmhz/openmhz-afpd-car-to-car-2026-10-03/dcfems-6001-1791093433.m4a</x:v>
      </x:c>
      <x:c r="R237" s="19" t="str">
        <x:v>https://afpd-accountability.com/police-radio/?date=2026-10-03</x:v>
      </x:c>
      <x:c r="S237" s="13" t="n">
        <x:v>5</x:v>
      </x:c>
    </x:row>
    <x:row r="238" ht="60" customHeight="1">
      <x:c r="A238" s="13" t="str">
        <x:v>E231</x:v>
      </x:c>
      <x:c r="B238" s="13" t="str">
        <x:v>Ron</x:v>
      </x:c>
      <x:c r="C238" s="14" t="n">
        <x:v>46299</x:v>
      </x:c>
      <x:c r="D238" s="13" t="n">
        <x:v>5</x:v>
      </x:c>
      <x:c r="E238" s="15" t="n">
        <x:v>0.012210648148148148</x:v>
      </x:c>
      <x:c r="F238" s="16" t="str">
        <x:v>14590085</x:v>
      </x:c>
      <x:c r="G238" s="13" t="n">
        <x:v>6</x:v>
      </x:c>
      <x:c r="H238" s="15" t="n">
        <x:v>0.012280092592592592</x:v>
      </x:c>
      <x:c r="I238" s="17" t="n">
        <x:f>ROUND((H238-E238)*86400,0)</x:f>
        <x:v>6</x:v>
      </x:c>
      <x:c r="J238" s="16" t="str">
        <x:v>14590037</x:v>
      </x:c>
      <x:c r="K238" s="13" t="str">
        <x:v>Ron, you on here?</x:v>
      </x:c>
      <x:c r="L238" s="13" t="str">
        <x:v>Yeah.</x:v>
      </x:c>
      <x:c r="M238" s="13" t="str">
        <x:v>Transcript association</x:v>
      </x:c>
      <x:c r="N238" s="13" t="str">
        <x:v>Ron could be a name, nickname, or a transcription of Bronson. Several distinct IDs appear; no roster identity assigned.</x:v>
      </x:c>
      <x:c r="O238" s="18" t="str">
        <x:v>Not reviewed</x:v>
      </x:c>
      <x:c r="P238" s="19" t="str">
        <x:v>https://afpd-accountability.com/records/openmhz/openmhz-afpd-car-to-car-2026-10-04/dcfems-6001-1791094655.m4a</x:v>
      </x:c>
      <x:c r="Q238" s="19" t="str">
        <x:v>https://afpd-accountability.com/records/openmhz/openmhz-afpd-car-to-car-2026-10-04/dcfems-6001-1791094661.m4a</x:v>
      </x:c>
      <x:c r="R238" s="19" t="str">
        <x:v>https://afpd-accountability.com/police-radio/?date=2026-10-04</x:v>
      </x:c>
      <x:c r="S238" s="13" t="n">
        <x:v>6</x:v>
      </x:c>
    </x:row>
    <x:row r="239" ht="60" customHeight="1">
      <x:c r="A239" s="13" t="str">
        <x:v>E232</x:v>
      </x:c>
      <x:c r="B239" s="13" t="str">
        <x:v>Ron</x:v>
      </x:c>
      <x:c r="C239" s="14" t="n">
        <x:v>46299</x:v>
      </x:c>
      <x:c r="D239" s="13" t="n">
        <x:v>135</x:v>
      </x:c>
      <x:c r="E239" s="15" t="n">
        <x:v>0.8529050925925926</x:v>
      </x:c>
      <x:c r="F239" s="16" t="str">
        <x:v>14590085</x:v>
      </x:c>
      <x:c r="G239" s="13" t="n">
        <x:v>136</x:v>
      </x:c>
      <x:c r="H239" s="15" t="n">
        <x:v>0.8529513888888889</x:v>
      </x:c>
      <x:c r="I239" s="17" t="n">
        <x:f>ROUND((H239-E239)*86400,0)</x:f>
        <x:v>4</x:v>
      </x:c>
      <x:c r="J239" s="16" t="str">
        <x:v>14590099</x:v>
      </x:c>
      <x:c r="K239" s="13" t="str">
        <x:v>Ron, [unclear]?</x:v>
      </x:c>
      <x:c r="L239" s="13" t="str">
        <x:v>Yeah.</x:v>
      </x:c>
      <x:c r="M239" s="13" t="str">
        <x:v>Transcript association</x:v>
      </x:c>
      <x:c r="N239" s="13" t="str">
        <x:v>Ron could be a name, nickname, or a transcription of Bronson. Several distinct IDs appear; no roster identity assigned.</x:v>
      </x:c>
      <x:c r="O239" s="18" t="str">
        <x:v>Not reviewed</x:v>
      </x:c>
      <x:c r="P239" s="19" t="str">
        <x:v>https://afpd-accountability.com/records/openmhz/openmhz-afpd-car-to-car-2026-10-04/dcfems-6001-1791167291.m4a</x:v>
      </x:c>
      <x:c r="Q239" s="19" t="str">
        <x:v>https://afpd-accountability.com/records/openmhz/openmhz-afpd-car-to-car-2026-10-04/dcfems-6001-1791167295.m4a</x:v>
      </x:c>
      <x:c r="R239" s="19" t="str">
        <x:v>https://afpd-accountability.com/police-radio/?date=2026-10-04</x:v>
      </x:c>
      <x:c r="S239" s="13" t="n">
        <x:v>4</x:v>
      </x:c>
    </x:row>
    <x:row r="240" ht="60" customHeight="1">
      <x:c r="A240" s="13" t="str">
        <x:v>E233</x:v>
      </x:c>
      <x:c r="B240" s="13" t="str">
        <x:v>Ron</x:v>
      </x:c>
      <x:c r="C240" s="14" t="n">
        <x:v>46299</x:v>
      </x:c>
      <x:c r="D240" s="13" t="n">
        <x:v>144</x:v>
      </x:c>
      <x:c r="E240" s="15" t="n">
        <x:v>0.9190393518518518</x:v>
      </x:c>
      <x:c r="F240" s="16" t="str">
        <x:v>14590030</x:v>
      </x:c>
      <x:c r="G240" s="13" t="n">
        <x:v>145</x:v>
      </x:c>
      <x:c r="H240" s="15" t="n">
        <x:v>0.9190856481481482</x:v>
      </x:c>
      <x:c r="I240" s="17" t="n">
        <x:f>ROUND((H240-E240)*86400,0)</x:f>
        <x:v>4</x:v>
      </x:c>
      <x:c r="J240" s="16" t="str">
        <x:v>14590099</x:v>
      </x:c>
      <x:c r="K240" s="13" t="str">
        <x:v>Ron, what call are you going to?</x:v>
      </x:c>
      <x:c r="L240" s="13" t="str">
        <x:v>[unclear]</x:v>
      </x:c>
      <x:c r="M240" s="13" t="str">
        <x:v>Transcript association</x:v>
      </x:c>
      <x:c r="N240" s="13" t="str">
        <x:v>Ron could be a name, nickname, or a transcription of Bronson. Several distinct IDs appear; no roster identity assigned.</x:v>
      </x:c>
      <x:c r="O240" s="18" t="str">
        <x:v>Not reviewed</x:v>
      </x:c>
      <x:c r="P240" s="19" t="str">
        <x:v>https://afpd-accountability.com/records/openmhz/openmhz-afpd-car-to-car-2026-10-04/dcfems-6001-1791173005.m4a</x:v>
      </x:c>
      <x:c r="Q240" s="19" t="str">
        <x:v>https://afpd-accountability.com/records/openmhz/openmhz-afpd-car-to-car-2026-10-04/dcfems-6001-1791173009.m4a</x:v>
      </x:c>
      <x:c r="R240" s="19" t="str">
        <x:v>https://afpd-accountability.com/police-radio/?date=2026-10-04</x:v>
      </x:c>
      <x:c r="S240" s="13" t="n">
        <x:v>4</x:v>
      </x:c>
    </x:row>
    <x:row r="241" ht="60" customHeight="1">
      <x:c r="A241" s="13" t="str">
        <x:v>E234</x:v>
      </x:c>
      <x:c r="B241" s="13" t="str">
        <x:v>Jackie</x:v>
      </x:c>
      <x:c r="C241" s="14" t="n">
        <x:v>46299</x:v>
      </x:c>
      <x:c r="D241" s="13" t="n">
        <x:v>158</x:v>
      </x:c>
      <x:c r="E241" s="15" t="n">
        <x:v>0.9491203703703703</x:v>
      </x:c>
      <x:c r="F241" s="16" t="str">
        <x:v>14590085</x:v>
      </x:c>
      <x:c r="G241" s="13" t="n">
        <x:v>159</x:v>
      </x:c>
      <x:c r="H241" s="15" t="n">
        <x:v>0.9491898148148148</x:v>
      </x:c>
      <x:c r="I241" s="17" t="n">
        <x:f>ROUND((H241-E241)*86400,0)</x:f>
        <x:v>6</x:v>
      </x:c>
      <x:c r="J241" s="16" t="str">
        <x:v>14590104</x:v>
      </x:c>
      <x:c r="K241" s="13" t="str">
        <x:v>Hey Jackie, do you need anything else on this? [unclear]</x:v>
      </x:c>
      <x:c r="L241" s="13" t="str">
        <x:v>No, I'm just trying to clear it.</x:v>
      </x:c>
      <x:c r="M241" s="13" t="str">
        <x:v>Transcript association</x:v>
      </x:c>
      <x:c r="N241" s="13" t="str">
        <x:v>Mostly 14590104 and 14590200; 14590103 has only one uncertain exchange. No roster identity assigned from the nickname alone.</x:v>
      </x:c>
      <x:c r="O241" s="18" t="str">
        <x:v>Not reviewed</x:v>
      </x:c>
      <x:c r="P241" s="19" t="str">
        <x:v>https://afpd-accountability.com/records/openmhz/openmhz-afpd-car-to-car-2026-10-04/dcfems-6001-1791175604.m4a</x:v>
      </x:c>
      <x:c r="Q241" s="19" t="str">
        <x:v>https://afpd-accountability.com/records/openmhz/openmhz-afpd-car-to-car-2026-10-04/dcfems-6001-1791175610.m4a</x:v>
      </x:c>
      <x:c r="R241" s="19" t="str">
        <x:v>https://afpd-accountability.com/police-radio/?date=2026-10-04</x:v>
      </x:c>
      <x:c r="S241" s="13" t="n">
        <x:v>6</x:v>
      </x:c>
    </x:row>
    <x:row r="242" ht="60" customHeight="1">
      <x:c r="A242" s="13" t="str">
        <x:v>E235</x:v>
      </x:c>
      <x:c r="B242" s="13" t="str">
        <x:v>Gonzalez / David</x:v>
      </x:c>
      <x:c r="C242" s="14" t="n">
        <x:v>46299</x:v>
      </x:c>
      <x:c r="D242" s="13" t="n">
        <x:v>161</x:v>
      </x:c>
      <x:c r="E242" s="15" t="n">
        <x:v>0.950324074074074</x:v>
      </x:c>
      <x:c r="F242" s="16" t="str">
        <x:v>14590073</x:v>
      </x:c>
      <x:c r="G242" s="13" t="n">
        <x:v>162</x:v>
      </x:c>
      <x:c r="H242" s="15" t="n">
        <x:v>0.9503819444444445</x:v>
      </x:c>
      <x:c r="I242" s="17" t="n">
        <x:f>ROUND((H242-E242)*86400,0)</x:f>
        <x:v>5</x:v>
      </x:c>
      <x:c r="J242" s="16" t="str">
        <x:v>14580152</x:v>
      </x:c>
      <x:c r="K242" s="13" t="str">
        <x:v>David, you out with them?</x:v>
      </x:c>
      <x:c r="L242" s="13" t="str">
        <x:v>They're not sure if they're [unclear] or they left.</x:v>
      </x:c>
      <x:c r="M242" s="13" t="str">
        <x:v>Transcript association</x:v>
      </x:c>
      <x:c r="N242" s="13" t="str"/>
      <x:c r="O242" s="18" t="str">
        <x:v>Not reviewed</x:v>
      </x:c>
      <x:c r="P242" s="19" t="str">
        <x:v>https://afpd-accountability.com/records/openmhz/openmhz-afpd-car-to-car-2026-10-04/dcfems-6001-1791175708.m4a</x:v>
      </x:c>
      <x:c r="Q242" s="19" t="str">
        <x:v>https://afpd-accountability.com/records/openmhz/openmhz-afpd-car-to-car-2026-10-04/dcfems-6001-1791175713.m4a</x:v>
      </x:c>
      <x:c r="R242" s="19" t="str">
        <x:v>https://afpd-accountability.com/police-radio/?date=2026-10-04</x:v>
      </x:c>
      <x:c r="S242" s="13" t="n">
        <x:v>5</x:v>
      </x:c>
    </x:row>
    <x:row r="243" ht="60" customHeight="1">
      <x:c r="A243" s="13" t="str">
        <x:v>E236</x:v>
      </x:c>
      <x:c r="B243" s="13" t="str">
        <x:v>Greg</x:v>
      </x:c>
      <x:c r="C243" s="14" t="n">
        <x:v>46300</x:v>
      </x:c>
      <x:c r="D243" s="13" t="n">
        <x:v>26</x:v>
      </x:c>
      <x:c r="E243" s="15" t="n">
        <x:v>0.4839699074074074</x:v>
      </x:c>
      <x:c r="F243" s="16" t="str">
        <x:v>14590225</x:v>
      </x:c>
      <x:c r="G243" s="13" t="n">
        <x:v>27</x:v>
      </x:c>
      <x:c r="H243" s="15" t="n">
        <x:v>0.4840393518518519</x:v>
      </x:c>
      <x:c r="I243" s="17" t="n">
        <x:f>ROUND((H243-E243)*86400,0)</x:f>
        <x:v>6</x:v>
      </x:c>
      <x:c r="J243" s="16" t="str">
        <x:v>14590098</x:v>
      </x:c>
      <x:c r="K243" s="13" t="str">
        <x:v>Greg, you want us to take that one?</x:v>
      </x:c>
      <x:c r="L243" s="13" t="str">
        <x:v>Oh, it's right up my alley.</x:v>
      </x:c>
      <x:c r="M243" s="13" t="str">
        <x:v>Transcript association</x:v>
      </x:c>
      <x:c r="N243" s="13" t="str"/>
      <x:c r="O243" s="18" t="str">
        <x:v>Not reviewed</x:v>
      </x:c>
      <x:c r="P243" s="19" t="str">
        <x:v>https://afpd-accountability.com/records/openmhz/openmhz-afpd-car-to-car-2026-10-05/dcfems-6001-1791221815.m4a</x:v>
      </x:c>
      <x:c r="Q243" s="19" t="str">
        <x:v>https://afpd-accountability.com/records/openmhz/openmhz-afpd-car-to-car-2026-10-05/dcfems-6001-1791221821.m4a</x:v>
      </x:c>
      <x:c r="R243" s="19" t="str">
        <x:v>https://afpd-accountability.com/police-radio/?date=2026-10-05</x:v>
      </x:c>
      <x:c r="S243" s="13" t="n">
        <x:v>6</x:v>
      </x:c>
    </x:row>
    <x:row r="244" ht="60" customHeight="1">
      <x:c r="A244" s="13" t="str">
        <x:v>E237</x:v>
      </x:c>
      <x:c r="B244" s="13" t="str">
        <x:v>Jensen / Josh</x:v>
      </x:c>
      <x:c r="C244" s="14" t="n">
        <x:v>46300</x:v>
      </x:c>
      <x:c r="D244" s="13" t="n">
        <x:v>30</x:v>
      </x:c>
      <x:c r="E244" s="15" t="n">
        <x:v>0.48586805555555557</x:v>
      </x:c>
      <x:c r="F244" s="16" t="str">
        <x:v>14590098</x:v>
      </x:c>
      <x:c r="G244" s="13" t="n">
        <x:v>31</x:v>
      </x:c>
      <x:c r="H244" s="15" t="n">
        <x:v>0.4860763888888889</x:v>
      </x:c>
      <x:c r="I244" s="17" t="n">
        <x:f>ROUND((H244-E244)*86400,0)</x:f>
        <x:v>18</x:v>
      </x:c>
      <x:c r="J244" s="16" t="str">
        <x:v>14590225</x:v>
      </x:c>
      <x:c r="K244" s="13" t="str">
        <x:v>Hey Josh, are you guys going to come down or do you want me to tell them?</x:v>
      </x:c>
      <x:c r="L244" s="13" t="str">
        <x:v>Sorry Greg, I'm not [scanning unclear], but we're currently eating, so it can wait.</x:v>
      </x:c>
      <x:c r="M244" s="13" t="str">
        <x:v>Transcript association</x:v>
      </x:c>
      <x:c r="N244" s="13" t="str">
        <x:v>Both Jensen and Josh are represented; Joshua Jensen is a candidate. First-name replies alone do not rule out other Joshuas.</x:v>
      </x:c>
      <x:c r="O244" s="18" t="str">
        <x:v>Not reviewed</x:v>
      </x:c>
      <x:c r="P244" s="19" t="str">
        <x:v>https://afpd-accountability.com/records/openmhz/openmhz-afpd-car-to-car-2026-10-05/dcfems-6001-1791221979.m4a</x:v>
      </x:c>
      <x:c r="Q244" s="19" t="str">
        <x:v>https://afpd-accountability.com/records/openmhz/openmhz-afpd-car-to-car-2026-10-05/dcfems-6001-1791221997.m4a</x:v>
      </x:c>
      <x:c r="R244" s="19" t="str">
        <x:v>https://afpd-accountability.com/police-radio/?date=2026-10-05</x:v>
      </x:c>
      <x:c r="S244" s="13" t="n">
        <x:v>18</x:v>
      </x:c>
    </x:row>
    <x:row r="245" ht="60" customHeight="1">
      <x:c r="A245" s="13" t="str">
        <x:v>E238</x:v>
      </x:c>
      <x:c r="B245" s="13" t="str">
        <x:v>Greg</x:v>
      </x:c>
      <x:c r="C245" s="14" t="n">
        <x:v>46300</x:v>
      </x:c>
      <x:c r="D245" s="13" t="n">
        <x:v>31</x:v>
      </x:c>
      <x:c r="E245" s="15" t="n">
        <x:v>0.4860763888888889</x:v>
      </x:c>
      <x:c r="F245" s="16" t="str">
        <x:v>14590225</x:v>
      </x:c>
      <x:c r="G245" s="13" t="n">
        <x:v>32</x:v>
      </x:c>
      <x:c r="H245" s="15" t="n">
        <x:v>0.4861574074074074</x:v>
      </x:c>
      <x:c r="I245" s="17" t="n">
        <x:f>ROUND((H245-E245)*86400,0)</x:f>
        <x:v>7</x:v>
      </x:c>
      <x:c r="J245" s="16" t="str">
        <x:v>14590098</x:v>
      </x:c>
      <x:c r="K245" s="13" t="str">
        <x:v>Sorry Greg, I'm not [scanning unclear], but we're currently eating, so it can wait.</x:v>
      </x:c>
      <x:c r="L245" s="13" t="str">
        <x:v>Yeah, I'll just take care of it. It's not a big deal. I'm already down here.</x:v>
      </x:c>
      <x:c r="M245" s="13" t="str">
        <x:v>Transcript association</x:v>
      </x:c>
      <x:c r="N245" s="13" t="str"/>
      <x:c r="O245" s="18" t="str">
        <x:v>Not reviewed</x:v>
      </x:c>
      <x:c r="P245" s="19" t="str">
        <x:v>https://afpd-accountability.com/records/openmhz/openmhz-afpd-car-to-car-2026-10-05/dcfems-6001-1791221997.m4a</x:v>
      </x:c>
      <x:c r="Q245" s="19" t="str">
        <x:v>https://afpd-accountability.com/records/openmhz/openmhz-afpd-car-to-car-2026-10-05/dcfems-6001-1791222004.m4a</x:v>
      </x:c>
      <x:c r="R245" s="19" t="str">
        <x:v>https://afpd-accountability.com/police-radio/?date=2026-10-05</x:v>
      </x:c>
      <x:c r="S245" s="13" t="n">
        <x:v>7</x:v>
      </x:c>
    </x:row>
    <x:row r="246" ht="60" customHeight="1">
      <x:c r="A246" s="13" t="str">
        <x:v>E239</x:v>
      </x:c>
      <x:c r="B246" s="13" t="str">
        <x:v>Jensen / Josh</x:v>
      </x:c>
      <x:c r="C246" s="14" t="n">
        <x:v>46300</x:v>
      </x:c>
      <x:c r="D246" s="13" t="n">
        <x:v>60</x:v>
      </x:c>
      <x:c r="E246" s="15" t="n">
        <x:v>0.5789583333333334</x:v>
      </x:c>
      <x:c r="F246" s="16" t="str">
        <x:v>14590089</x:v>
      </x:c>
      <x:c r="G246" s="13" t="n">
        <x:v>61</x:v>
      </x:c>
      <x:c r="H246" s="15" t="n">
        <x:v>0.5790162037037037</x:v>
      </x:c>
      <x:c r="I246" s="17" t="n">
        <x:f>ROUND((H246-E246)*86400,0)</x:f>
        <x:v>5</x:v>
      </x:c>
      <x:c r="J246" s="16" t="str">
        <x:v>14590088</x:v>
      </x:c>
      <x:c r="K246" s="13" t="str">
        <x:v>Josh, I can come from the PD to do that for you.</x:v>
      </x:c>
      <x:c r="L246" s="13" t="str">
        <x:v>That would be great. We're like halfway through this crash, and if you could just run over and turn on those lights, it's just a little light switch on the backside of those school zone lights. Just flip them on, and then we'll be over there in probably 15.</x:v>
      </x:c>
      <x:c r="M246" s="13" t="str">
        <x:v>Transcript association</x:v>
      </x:c>
      <x:c r="N246" s="13" t="str">
        <x:v>Both Jensen and Josh are represented; Joshua Jensen is a candidate. First-name replies alone do not rule out other Joshuas.</x:v>
      </x:c>
      <x:c r="O246" s="18" t="str">
        <x:v>Not reviewed</x:v>
      </x:c>
      <x:c r="P246" s="19" t="str">
        <x:v>https://afpd-accountability.com/records/openmhz/openmhz-afpd-car-to-car-2026-10-05/dcfems-6001-1791230022.m4a</x:v>
      </x:c>
      <x:c r="Q246" s="19" t="str">
        <x:v>https://afpd-accountability.com/records/openmhz/openmhz-afpd-car-to-car-2026-10-05/dcfems-6001-1791230027.m4a</x:v>
      </x:c>
      <x:c r="R246" s="19" t="str">
        <x:v>https://afpd-accountability.com/police-radio/?date=2026-10-05</x:v>
      </x:c>
      <x:c r="S246" s="13" t="n">
        <x:v>5</x:v>
      </x:c>
    </x:row>
    <x:row r="247" ht="60" customHeight="1">
      <x:c r="A247" s="13" t="str">
        <x:v>E240</x:v>
      </x:c>
      <x:c r="B247" s="13" t="str">
        <x:v>Diego / Garcia</x:v>
      </x:c>
      <x:c r="C247" s="14" t="n">
        <x:v>46300</x:v>
      </x:c>
      <x:c r="D247" s="13" t="n">
        <x:v>63</x:v>
      </x:c>
      <x:c r="E247" s="15" t="n">
        <x:v>0.5795023148148148</x:v>
      </x:c>
      <x:c r="F247" s="16" t="str">
        <x:v>14590087</x:v>
      </x:c>
      <x:c r="G247" s="13" t="n">
        <x:v>64</x:v>
      </x:c>
      <x:c r="H247" s="15" t="n">
        <x:v>0.5796412037037038</x:v>
      </x:c>
      <x:c r="I247" s="17" t="n">
        <x:f>ROUND((H247-E247)*86400,0)</x:f>
        <x:v>12</x:v>
      </x:c>
      <x:c r="J247" s="16" t="str">
        <x:v>14590089</x:v>
      </x:c>
      <x:c r="K247" s="13" t="str">
        <x:v>Hey Diego, I can head over and hit those crossing lights.</x:v>
      </x:c>
      <x:c r="L247" s="13" t="str">
        <x:v>Are you out and about already?</x:v>
      </x:c>
      <x:c r="M247" s="13" t="str">
        <x:v>Transcript association</x:v>
      </x:c>
      <x:c r="N247" s="13" t="str"/>
      <x:c r="O247" s="18" t="str">
        <x:v>Not reviewed</x:v>
      </x:c>
      <x:c r="P247" s="19" t="str">
        <x:v>https://afpd-accountability.com/records/openmhz/openmhz-afpd-car-to-car-2026-10-05/dcfems-6001-1791230069.m4a</x:v>
      </x:c>
      <x:c r="Q247" s="19" t="str">
        <x:v>https://afpd-accountability.com/records/openmhz/openmhz-afpd-car-to-car-2026-10-05/dcfems-6001-1791230081.m4a</x:v>
      </x:c>
      <x:c r="R247" s="19" t="str">
        <x:v>https://afpd-accountability.com/police-radio/?date=2026-10-05</x:v>
      </x:c>
      <x:c r="S247" s="13" t="n">
        <x:v>12</x:v>
      </x:c>
    </x:row>
    <x:row r="248" ht="60" customHeight="1">
      <x:c r="A248" s="13" t="str">
        <x:v>E241</x:v>
      </x:c>
      <x:c r="B248" s="13" t="str">
        <x:v>Mason</x:v>
      </x:c>
      <x:c r="C248" s="14" t="n">
        <x:v>46300</x:v>
      </x:c>
      <x:c r="D248" s="13" t="n">
        <x:v>97</x:v>
      </x:c>
      <x:c r="E248" s="15" t="n">
        <x:v>0.7197916666666667</x:v>
      </x:c>
      <x:c r="F248" s="16" t="str">
        <x:v>14590111</x:v>
      </x:c>
      <x:c r="G248" s="13" t="n">
        <x:v>98</x:v>
      </x:c>
      <x:c r="H248" s="15" t="n">
        <x:v>0.7199074074074074</x:v>
      </x:c>
      <x:c r="I248" s="17" t="n">
        <x:f>ROUND((H248-E248)*86400,0)</x:f>
        <x:v>10</x:v>
      </x:c>
      <x:c r="J248" s="16" t="str">
        <x:v>14590237</x:v>
      </x:c>
      <x:c r="K248" s="13" t="str">
        <x:v>Mason, how are you guys doing on traffic control?</x:v>
      </x:c>
      <x:c r="L248" s="13" t="str">
        <x:v>I'd say we're pretty good. We're just [unclear] as we go.</x:v>
      </x:c>
      <x:c r="M248" s="13" t="str">
        <x:v>Transcript association</x:v>
      </x:c>
      <x:c r="N248" s="13" t="str"/>
      <x:c r="O248" s="18" t="str">
        <x:v>Not reviewed</x:v>
      </x:c>
      <x:c r="P248" s="19" t="str">
        <x:v>https://afpd-accountability.com/records/openmhz/openmhz-afpd-car-to-car-2026-10-05/dcfems-6001-1791242190.m4a</x:v>
      </x:c>
      <x:c r="Q248" s="19" t="str">
        <x:v>https://afpd-accountability.com/records/openmhz/openmhz-afpd-car-to-car-2026-10-05/dcfems-6001-1791242200.m4a</x:v>
      </x:c>
      <x:c r="R248" s="19" t="str">
        <x:v>https://afpd-accountability.com/police-radio/?date=2026-10-05</x:v>
      </x:c>
      <x:c r="S248" s="13" t="n">
        <x:v>10</x:v>
      </x:c>
    </x:row>
    <x:row r="249" ht="60" customHeight="1">
      <x:c r="A249" s="13" t="str">
        <x:v>E242</x:v>
      </x:c>
      <x:c r="B249" s="13" t="str">
        <x:v>Diego / Garcia</x:v>
      </x:c>
      <x:c r="C249" s="14" t="n">
        <x:v>46300</x:v>
      </x:c>
      <x:c r="D249" s="13" t="n">
        <x:v>104</x:v>
      </x:c>
      <x:c r="E249" s="15" t="n">
        <x:v>0.7371527777777778</x:v>
      </x:c>
      <x:c r="F249" s="16" t="str">
        <x:v>14590247</x:v>
      </x:c>
      <x:c r="G249" s="13" t="n">
        <x:v>105</x:v>
      </x:c>
      <x:c r="H249" s="15" t="n">
        <x:v>0.7372337962962963</x:v>
      </x:c>
      <x:c r="I249" s="17" t="n">
        <x:f>ROUND((H249-E249)*86400,0)</x:f>
        <x:v>7</x:v>
      </x:c>
      <x:c r="J249" s="16" t="str">
        <x:v>14590089</x:v>
      </x:c>
      <x:c r="K249" s="13" t="str">
        <x:v>Hey Diego, you on here?</x:v>
      </x:c>
      <x:c r="L249" s="13" t="str">
        <x:v>Yeah, go ahead.</x:v>
      </x:c>
      <x:c r="M249" s="13" t="str">
        <x:v>Transcript association</x:v>
      </x:c>
      <x:c r="N249" s="13" t="str"/>
      <x:c r="O249" s="18" t="str">
        <x:v>Not reviewed</x:v>
      </x:c>
      <x:c r="P249" s="19" t="str">
        <x:v>https://afpd-accountability.com/records/openmhz/openmhz-afpd-car-to-car-2026-10-05/dcfems-6001-1791243690.m4a</x:v>
      </x:c>
      <x:c r="Q249" s="19" t="str">
        <x:v>https://afpd-accountability.com/records/openmhz/openmhz-afpd-car-to-car-2026-10-05/dcfems-6001-1791243697.m4a</x:v>
      </x:c>
      <x:c r="R249" s="19" t="str">
        <x:v>https://afpd-accountability.com/police-radio/?date=2026-10-05</x:v>
      </x:c>
      <x:c r="S249" s="13" t="n">
        <x:v>7</x:v>
      </x:c>
    </x:row>
    <x:row r="250" ht="60" customHeight="1">
      <x:c r="A250" s="13" t="str">
        <x:v>E243</x:v>
      </x:c>
      <x:c r="B250" s="13" t="str">
        <x:v>Colton</x:v>
      </x:c>
      <x:c r="C250" s="14" t="n">
        <x:v>46300</x:v>
      </x:c>
      <x:c r="D250" s="13" t="n">
        <x:v>127</x:v>
      </x:c>
      <x:c r="E250" s="15" t="n">
        <x:v>0.9285763888888889</x:v>
      </x:c>
      <x:c r="F250" s="16" t="str">
        <x:v>14590123</x:v>
      </x:c>
      <x:c r="G250" s="13" t="n">
        <x:v>128</x:v>
      </x:c>
      <x:c r="H250" s="15" t="n">
        <x:v>0.9286226851851852</x:v>
      </x:c>
      <x:c r="I250" s="17" t="n">
        <x:f>ROUND((H250-E250)*86400,0)</x:f>
        <x:v>4</x:v>
      </x:c>
      <x:c r="J250" s="16" t="str">
        <x:v>14590091</x:v>
      </x:c>
      <x:c r="K250" s="13" t="str">
        <x:v>Colton, you got something good?</x:v>
      </x:c>
      <x:c r="L250" s="13" t="str">
        <x:v>No, my printer just won't print that citation.</x:v>
      </x:c>
      <x:c r="M250" s="13" t="str">
        <x:v>Conflicting names on this ID</x:v>
      </x:c>
      <x:c r="N250" s="13" t="str">
        <x:v>14590091 also answers Heaton/Colby and Ethan. Could be transcript error, shared radio, or a different responder.</x:v>
      </x:c>
      <x:c r="O250" s="18" t="str">
        <x:v>Not reviewed</x:v>
      </x:c>
      <x:c r="P250" s="19" t="str">
        <x:v>https://afpd-accountability.com/records/openmhz/openmhz-afpd-car-to-car-2026-10-05/dcfems-6001-1791260229.m4a</x:v>
      </x:c>
      <x:c r="Q250" s="19" t="str">
        <x:v>https://afpd-accountability.com/records/openmhz/openmhz-afpd-car-to-car-2026-10-05/dcfems-6001-1791260233.m4a</x:v>
      </x:c>
      <x:c r="R250" s="19" t="str">
        <x:v>https://afpd-accountability.com/police-radio/?date=2026-10-05</x:v>
      </x:c>
      <x:c r="S250" s="13" t="n">
        <x:v>4</x:v>
      </x:c>
    </x:row>
    <x:row r="251" ht="60" customHeight="1">
      <x:c r="A251" s="13" t="str">
        <x:v>E244</x:v>
      </x:c>
      <x:c r="B251" s="13" t="str">
        <x:v>Mason</x:v>
      </x:c>
      <x:c r="C251" s="14" t="n">
        <x:v>46301</x:v>
      </x:c>
      <x:c r="D251" s="13" t="n">
        <x:v>111</x:v>
      </x:c>
      <x:c r="E251" s="15" t="n">
        <x:v>0.7636458333333334</x:v>
      </x:c>
      <x:c r="F251" s="16" t="str">
        <x:v>14590219</x:v>
      </x:c>
      <x:c r="G251" s="13" t="n">
        <x:v>112</x:v>
      </x:c>
      <x:c r="H251" s="15" t="n">
        <x:v>0.7637152777777778</x:v>
      </x:c>
      <x:c r="I251" s="17" t="n">
        <x:f>ROUND((H251-E251)*86400,0)</x:f>
        <x:v>6</x:v>
      </x:c>
      <x:c r="J251" s="16" t="str">
        <x:v>14590315</x:v>
      </x:c>
      <x:c r="K251" s="13" t="str">
        <x:v>Hey Mason, do you need help with anything?</x:v>
      </x:c>
      <x:c r="L251" s="13" t="str">
        <x:v>Negative, I'm all good. Thanks Lou.</x:v>
      </x:c>
      <x:c r="M251" s="13" t="str">
        <x:v>Transcript association</x:v>
      </x:c>
      <x:c r="N251" s="13" t="str"/>
      <x:c r="O251" s="18" t="str">
        <x:v>Not reviewed</x:v>
      </x:c>
      <x:c r="P251" s="19" t="str">
        <x:v>https://afpd-accountability.com/records/openmhz/openmhz-afpd-car-to-car-2026-10-06/dcfems-6001-1791332379.m4a</x:v>
      </x:c>
      <x:c r="Q251" s="19" t="str">
        <x:v>https://afpd-accountability.com/records/openmhz/openmhz-afpd-car-to-car-2026-10-06/dcfems-6001-1791332385.m4a</x:v>
      </x:c>
      <x:c r="R251" s="19" t="str">
        <x:v>https://afpd-accountability.com/police-radio/?date=2026-10-06</x:v>
      </x:c>
      <x:c r="S251" s="13" t="n">
        <x:v>6</x:v>
      </x:c>
    </x:row>
    <x:row r="252" ht="60" customHeight="1">
      <x:c r="A252" s="13" t="str">
        <x:v>E245</x:v>
      </x:c>
      <x:c r="B252" s="13" t="str">
        <x:v>Greg</x:v>
      </x:c>
      <x:c r="C252" s="14" t="n">
        <x:v>46302</x:v>
      </x:c>
      <x:c r="D252" s="13" t="n">
        <x:v>5</x:v>
      </x:c>
      <x:c r="E252" s="15" t="n">
        <x:v>0.3119212962962963</x:v>
      </x:c>
      <x:c r="F252" s="16" t="str">
        <x:v>14590072</x:v>
      </x:c>
      <x:c r="G252" s="13" t="n">
        <x:v>6</x:v>
      </x:c>
      <x:c r="H252" s="15" t="n">
        <x:v>0.31202546296296296</x:v>
      </x:c>
      <x:c r="I252" s="17" t="n">
        <x:f>ROUND((H252-E252)*86400,0)</x:f>
        <x:v>9</x:v>
      </x:c>
      <x:c r="J252" s="16" t="str">
        <x:v>14590098</x:v>
      </x:c>
      <x:c r="K252" s="13" t="str">
        <x:v>Hey Greg, it's [name unclear]. Are you planning on staying at that intersection?</x:v>
      </x:c>
      <x:c r="L252" s="13" t="str">
        <x:v>Yeah, we've got it handled.</x:v>
      </x:c>
      <x:c r="M252" s="13" t="str">
        <x:v>Transcript association</x:v>
      </x:c>
      <x:c r="N252" s="13" t="str"/>
      <x:c r="O252" s="18" t="str">
        <x:v>Not reviewed</x:v>
      </x:c>
      <x:c r="P252" s="19" t="str">
        <x:v>https://afpd-accountability.com/records/openmhz/openmhz-afpd-car-to-car-2026-10-07/dcfems-6001-1791379750.m4a</x:v>
      </x:c>
      <x:c r="Q252" s="19" t="str">
        <x:v>https://afpd-accountability.com/records/openmhz/openmhz-afpd-car-to-car-2026-10-07/dcfems-6001-1791379759.m4a</x:v>
      </x:c>
      <x:c r="R252" s="19" t="str">
        <x:v>https://afpd-accountability.com/police-radio/?date=2026-10-07</x:v>
      </x:c>
      <x:c r="S252" s="13" t="n">
        <x:v>9</x:v>
      </x:c>
    </x:row>
    <x:row r="253" ht="60" customHeight="1">
      <x:c r="A253" s="13" t="str">
        <x:v>E246</x:v>
      </x:c>
      <x:c r="B253" s="13" t="str">
        <x:v>Greg</x:v>
      </x:c>
      <x:c r="C253" s="14" t="n">
        <x:v>46302</x:v>
      </x:c>
      <x:c r="D253" s="13" t="n">
        <x:v>12</x:v>
      </x:c>
      <x:c r="E253" s="15" t="n">
        <x:v>0.3127662037037037</x:v>
      </x:c>
      <x:c r="F253" s="16" t="str">
        <x:v>14590022</x:v>
      </x:c>
      <x:c r="G253" s="13" t="n">
        <x:v>13</x:v>
      </x:c>
      <x:c r="H253" s="15" t="n">
        <x:v>0.3128472222222222</x:v>
      </x:c>
      <x:c r="I253" s="17" t="n">
        <x:f>ROUND((H253-E253)*86400,0)</x:f>
        <x:v>7</x:v>
      </x:c>
      <x:c r="J253" s="16" t="str">
        <x:v>14590098</x:v>
      </x:c>
      <x:c r="K253" s="13" t="str">
        <x:v>Hey Greg, I'm on car to car if you need me.</x:v>
      </x:c>
      <x:c r="L253" s="13" t="str">
        <x:v>Copy.</x:v>
      </x:c>
      <x:c r="M253" s="13" t="str">
        <x:v>Transcript association</x:v>
      </x:c>
      <x:c r="N253" s="13" t="str"/>
      <x:c r="O253" s="18" t="str">
        <x:v>Not reviewed</x:v>
      </x:c>
      <x:c r="P253" s="19" t="str">
        <x:v>https://afpd-accountability.com/records/openmhz/openmhz-afpd-car-to-car-2026-10-07/dcfems-6001-1791379823.m4a</x:v>
      </x:c>
      <x:c r="Q253" s="19" t="str">
        <x:v>https://afpd-accountability.com/records/openmhz/openmhz-afpd-car-to-car-2026-10-07/dcfems-6001-1791379830.m4a</x:v>
      </x:c>
      <x:c r="R253" s="19" t="str">
        <x:v>https://afpd-accountability.com/police-radio/?date=2026-10-07</x:v>
      </x:c>
      <x:c r="S253" s="13" t="n">
        <x:v>7</x:v>
      </x:c>
    </x:row>
    <x:row r="254" ht="60" customHeight="1">
      <x:c r="A254" s="13" t="str">
        <x:v>E247</x:v>
      </x:c>
      <x:c r="B254" s="13" t="str">
        <x:v>Sam</x:v>
      </x:c>
      <x:c r="C254" s="14" t="n">
        <x:v>46302</x:v>
      </x:c>
      <x:c r="D254" s="13" t="n">
        <x:v>39</x:v>
      </x:c>
      <x:c r="E254" s="15" t="n">
        <x:v>0.4776388888888889</x:v>
      </x:c>
      <x:c r="F254" s="16" t="str">
        <x:v>14590019</x:v>
      </x:c>
      <x:c r="G254" s="13" t="n">
        <x:v>40</x:v>
      </x:c>
      <x:c r="H254" s="15" t="n">
        <x:v>0.4777546296296296</x:v>
      </x:c>
      <x:c r="I254" s="17" t="n">
        <x:f>ROUND((H254-E254)*86400,0)</x:f>
        <x:v>10</x:v>
      </x:c>
      <x:c r="J254" s="16" t="str">
        <x:v>14590268</x:v>
      </x:c>
      <x:c r="K254" s="13" t="str">
        <x:v>Sam, I'll take it.</x:v>
      </x:c>
      <x:c r="L254" s="13" t="str">
        <x:v>Are you not gonna eat?</x:v>
      </x:c>
      <x:c r="M254" s="13" t="str">
        <x:v>Transcript association</x:v>
      </x:c>
      <x:c r="N254" s="13" t="str">
        <x:v>Owner identifies Sam on 14590268 as Samuel Canizalez. Full exchange wording remains unverified.</x:v>
      </x:c>
      <x:c r="O254" s="18" t="str">
        <x:v>Not reviewed</x:v>
      </x:c>
      <x:c r="P254" s="19" t="str">
        <x:v>https://afpd-accountability.com/records/openmhz/openmhz-afpd-car-to-car-2026-10-07/dcfems-6001-1791394068.m4a</x:v>
      </x:c>
      <x:c r="Q254" s="19" t="str">
        <x:v>https://afpd-accountability.com/records/openmhz/openmhz-afpd-car-to-car-2026-10-07/dcfems-6001-1791394078.m4a</x:v>
      </x:c>
      <x:c r="R254" s="19" t="str">
        <x:v>https://afpd-accountability.com/police-radio/?date=2026-10-07</x:v>
      </x:c>
      <x:c r="S254" s="13" t="n">
        <x:v>10</x:v>
      </x:c>
    </x:row>
    <x:row r="255" ht="60" customHeight="1">
      <x:c r="A255" s="13" t="str">
        <x:v>E248</x:v>
      </x:c>
      <x:c r="B255" s="13" t="str">
        <x:v>Sam</x:v>
      </x:c>
      <x:c r="C255" s="14" t="n">
        <x:v>46302</x:v>
      </x:c>
      <x:c r="D255" s="13" t="n">
        <x:v>54</x:v>
      </x:c>
      <x:c r="E255" s="15" t="n">
        <x:v>0.49346064814814816</x:v>
      </x:c>
      <x:c r="F255" s="16" t="str">
        <x:v>14590019</x:v>
      </x:c>
      <x:c r="G255" s="13" t="n">
        <x:v>55</x:v>
      </x:c>
      <x:c r="H255" s="15" t="n">
        <x:v>0.4935185185185185</x:v>
      </x:c>
      <x:c r="I255" s="17" t="n">
        <x:f>ROUND((H255-E255)*86400,0)</x:f>
        <x:v>5</x:v>
      </x:c>
      <x:c r="J255" s="16" t="str">
        <x:v>14590067</x:v>
      </x:c>
      <x:c r="K255" s="13" t="str">
        <x:v>Thanks, Sam.</x:v>
      </x:c>
      <x:c r="L255" s="13" t="str">
        <x:v>Anytime.</x:v>
      </x:c>
      <x:c r="M255" s="13" t="str">
        <x:v>Transcript association</x:v>
      </x:c>
      <x:c r="N255" s="13" t="str">
        <x:v>Owner identifies the female reply in October 7 clip 55 as Sammantha J. Halladay. Full exchange wording remains unverified.</x:v>
      </x:c>
      <x:c r="O255" s="18" t="str">
        <x:v>Not reviewed</x:v>
      </x:c>
      <x:c r="P255" s="19" t="str">
        <x:v>https://afpd-accountability.com/records/openmhz/openmhz-afpd-car-to-car-2026-10-07/dcfems-6001-1791395435.m4a</x:v>
      </x:c>
      <x:c r="Q255" s="19" t="str">
        <x:v>https://afpd-accountability.com/records/openmhz/openmhz-afpd-car-to-car-2026-10-07/dcfems-6001-1791395440.m4a</x:v>
      </x:c>
      <x:c r="R255" s="19" t="str">
        <x:v>https://afpd-accountability.com/police-radio/?date=2026-10-07</x:v>
      </x:c>
      <x:c r="S255" s="13" t="n">
        <x:v>5</x:v>
      </x:c>
    </x:row>
    <x:row r="256" ht="60" customHeight="1">
      <x:c r="A256" s="13" t="str">
        <x:v>E249</x:v>
      </x:c>
      <x:c r="B256" s="13" t="str">
        <x:v>Tyler</x:v>
      </x:c>
      <x:c r="C256" s="14" t="n">
        <x:v>46302</x:v>
      </x:c>
      <x:c r="D256" s="13" t="n">
        <x:v>130</x:v>
      </x:c>
      <x:c r="E256" s="15" t="n">
        <x:v>0.8773611111111111</x:v>
      </x:c>
      <x:c r="F256" s="16" t="str">
        <x:v>14590099</x:v>
      </x:c>
      <x:c r="G256" s="13" t="n">
        <x:v>131</x:v>
      </x:c>
      <x:c r="H256" s="15" t="n">
        <x:v>0.8773958333333334</x:v>
      </x:c>
      <x:c r="I256" s="17" t="n">
        <x:f>ROUND((H256-E256)*86400,0)</x:f>
        <x:v>3</x:v>
      </x:c>
      <x:c r="J256" s="16" t="str">
        <x:v>14590085</x:v>
      </x:c>
      <x:c r="K256" s="13" t="str">
        <x:v>What was it, Tyler?</x:v>
      </x:c>
      <x:c r="L256" s="13" t="str">
        <x:v>I saw him leaving [location unclear]. I didn't necessarily have a driving pattern, but I pulled him over for registration and insurance problems. He said he had a couple of beers, but [timing of last beer unclear].</x:v>
      </x:c>
      <x:c r="M256" s="13" t="str">
        <x:v>Single-day candidate</x:v>
      </x:c>
      <x:c r="N256" s="13" t="str">
        <x:v>Spoken name Tyler; no full-name identity assigned. Do not equate this with Tayler Somerville.</x:v>
      </x:c>
      <x:c r="O256" s="18" t="str">
        <x:v>Not reviewed</x:v>
      </x:c>
      <x:c r="P256" s="19" t="str">
        <x:v>https://afpd-accountability.com/records/openmhz/openmhz-afpd-car-to-car-2026-10-07/dcfems-6001-1791428604.m4a</x:v>
      </x:c>
      <x:c r="Q256" s="19" t="str">
        <x:v>https://afpd-accountability.com/records/openmhz/openmhz-afpd-car-to-car-2026-10-07/dcfems-6001-1791428607.m4a</x:v>
      </x:c>
      <x:c r="R256" s="19" t="str">
        <x:v>https://afpd-accountability.com/police-radio/?date=2026-10-07</x:v>
      </x:c>
      <x:c r="S256" s="13" t="n">
        <x:v>3</x:v>
      </x:c>
    </x:row>
    <x:row r="257" ht="60" customHeight="1">
      <x:c r="A257" s="13" t="str">
        <x:v>E250</x:v>
      </x:c>
      <x:c r="B257" s="13" t="str">
        <x:v>Sam</x:v>
      </x:c>
      <x:c r="C257" s="14" t="n">
        <x:v>46303</x:v>
      </x:c>
      <x:c r="D257" s="13" t="n">
        <x:v>13</x:v>
      </x:c>
      <x:c r="E257" s="15" t="n">
        <x:v>0.33361111111111114</x:v>
      </x:c>
      <x:c r="F257" s="16" t="str">
        <x:v>14590079</x:v>
      </x:c>
      <x:c r="G257" s="13" t="n">
        <x:v>14</x:v>
      </x:c>
      <x:c r="H257" s="15" t="n">
        <x:v>0.33371527777777776</x:v>
      </x:c>
      <x:c r="I257" s="17" t="n">
        <x:f>ROUND((H257-E257)*86400,0)</x:f>
        <x:v>9</x:v>
      </x:c>
      <x:c r="J257" s="16" t="str">
        <x:v>14590067</x:v>
      </x:c>
      <x:c r="K257" s="13" t="str">
        <x:v>Hey, [Sam / Sammy], [unclear wording] wallet and phone.</x:v>
      </x:c>
      <x:c r="L257" s="13" t="str">
        <x:v>Copy.</x:v>
      </x:c>
      <x:c r="M257" s="13" t="str">
        <x:v>Transcript association</x:v>
      </x:c>
      <x:c r="N257" s="13" t="str">
        <x:v>Owner associates 14590067 with Sammantha J. Halladay based on October 7 clip 55. This October 8 exchange uses the same ID.</x:v>
      </x:c>
      <x:c r="O257" s="18" t="str">
        <x:v>Not reviewed</x:v>
      </x:c>
      <x:c r="P257" s="19" t="str">
        <x:v>https://afpd-accountability.com/records/openmhz/openmhz-afpd-car-to-car-2026-10-08/dcfems-6001-1791468024.m4a</x:v>
      </x:c>
      <x:c r="Q257" s="19" t="str">
        <x:v>https://afpd-accountability.com/records/openmhz/openmhz-afpd-car-to-car-2026-10-08/dcfems-6001-1791468033.m4a</x:v>
      </x:c>
      <x:c r="R257" s="19" t="str">
        <x:v>https://afpd-accountability.com/police-radio/?date=2026-10-08</x:v>
      </x:c>
      <x:c r="S257" s="13" t="n">
        <x:v>9</x:v>
      </x:c>
    </x:row>
    <x:row r="258" ht="60" customHeight="1">
      <x:c r="A258" s="13" t="str">
        <x:v>E251</x:v>
      </x:c>
      <x:c r="B258" s="13" t="str">
        <x:v>Luke</x:v>
      </x:c>
      <x:c r="C258" s="14" t="n">
        <x:v>46303</x:v>
      </x:c>
      <x:c r="D258" s="13" t="n">
        <x:v>78</x:v>
      </x:c>
      <x:c r="E258" s="15" t="n">
        <x:v>0.563599537037037</x:v>
      </x:c>
      <x:c r="F258" s="16" t="str">
        <x:v>14590140</x:v>
      </x:c>
      <x:c r="G258" s="13" t="n">
        <x:v>79</x:v>
      </x:c>
      <x:c r="H258" s="15" t="n">
        <x:v>0.5637384259259259</x:v>
      </x:c>
      <x:c r="I258" s="17" t="n">
        <x:f>ROUND((H258-E258)*86400,0)</x:f>
        <x:v>12</x:v>
      </x:c>
      <x:c r="J258" s="16" t="str">
        <x:v>14590117</x:v>
      </x:c>
      <x:c r="K258" s="13" t="str">
        <x:v>[Luke?], if you want to start, probably start on the west side of 520 North and start working your way east and we can all converge on 600 East.</x:v>
      </x:c>
      <x:c r="L258" s="13" t="str">
        <x:v>[Copy / help me].</x:v>
      </x:c>
      <x:c r="M258" s="13" t="str">
        <x:v>Transcript association</x:v>
      </x:c>
      <x:c r="N258" s="13" t="str"/>
      <x:c r="O258" s="18" t="str">
        <x:v>Not reviewed</x:v>
      </x:c>
      <x:c r="P258" s="19" t="str">
        <x:v>https://afpd-accountability.com/records/openmhz/openmhz-afpd-car-to-car-2026-10-08/dcfems-6001-1791487895.m4a</x:v>
      </x:c>
      <x:c r="Q258" s="19" t="str">
        <x:v>https://afpd-accountability.com/records/openmhz/openmhz-afpd-car-to-car-2026-10-08/dcfems-6001-1791487907.m4a</x:v>
      </x:c>
      <x:c r="R258" s="19" t="str">
        <x:v>https://afpd-accountability.com/police-radio/?date=2026-10-08</x:v>
      </x:c>
      <x:c r="S258" s="13" t="n">
        <x:v>12</x:v>
      </x:c>
    </x:row>
    <x:row r="259" ht="60" customHeight="1">
      <x:c r="A259" s="13" t="str">
        <x:v>E252</x:v>
      </x:c>
      <x:c r="B259" s="13" t="str">
        <x:v>Wagley</x:v>
      </x:c>
      <x:c r="C259" s="14" t="n">
        <x:v>46303</x:v>
      </x:c>
      <x:c r="D259" s="13" t="n">
        <x:v>138</x:v>
      </x:c>
      <x:c r="E259" s="15" t="n">
        <x:v>0.6655902777777778</x:v>
      </x:c>
      <x:c r="F259" s="16" t="str">
        <x:v>14590314</x:v>
      </x:c>
      <x:c r="G259" s="13" t="n">
        <x:v>139</x:v>
      </x:c>
      <x:c r="H259" s="15" t="n">
        <x:v>0.6656481481481481</x:v>
      </x:c>
      <x:c r="I259" s="17" t="n">
        <x:f>ROUND((H259-E259)*86400,0)</x:f>
        <x:v>5</x:v>
      </x:c>
      <x:c r="J259" s="16" t="str">
        <x:v>14590079</x:v>
      </x:c>
      <x:c r="K259" s="13" t="str">
        <x:v>[Waggley?], are you there already?</x:v>
      </x:c>
      <x:c r="L259" s="13" t="str">
        <x:v>Yeah, I've not talked to any party yet other than just the reporting party.</x:v>
      </x:c>
      <x:c r="M259" s="13" t="str">
        <x:v>Transcript association</x:v>
      </x:c>
      <x:c r="N259" s="13" t="str"/>
      <x:c r="O259" s="18" t="str">
        <x:v>Not reviewed</x:v>
      </x:c>
      <x:c r="P259" s="19" t="str">
        <x:v>https://afpd-accountability.com/records/openmhz/openmhz-afpd-car-to-car-2026-10-08/dcfems-6001-1791496707.m4a</x:v>
      </x:c>
      <x:c r="Q259" s="19" t="str">
        <x:v>https://afpd-accountability.com/records/openmhz/openmhz-afpd-car-to-car-2026-10-08/dcfems-6001-1791496712.m4a</x:v>
      </x:c>
      <x:c r="R259" s="19" t="str">
        <x:v>https://afpd-accountability.com/police-radio/?date=2026-10-08</x:v>
      </x:c>
      <x:c r="S259" s="13" t="n">
        <x:v>5</x:v>
      </x:c>
    </x:row>
    <x:row r="260" ht="60" customHeight="1">
      <x:c r="A260" s="13" t="str">
        <x:v>E253</x:v>
      </x:c>
      <x:c r="B260" s="13" t="str">
        <x:v>Phil</x:v>
      </x:c>
      <x:c r="C260" s="14" t="n">
        <x:v>46303</x:v>
      </x:c>
      <x:c r="D260" s="13" t="n">
        <x:v>166</x:v>
      </x:c>
      <x:c r="E260" s="15" t="n">
        <x:v>0.7077314814814815</x:v>
      </x:c>
      <x:c r="F260" s="16" t="str">
        <x:v>14590098</x:v>
      </x:c>
      <x:c r="G260" s="13" t="n">
        <x:v>167</x:v>
      </x:c>
      <x:c r="H260" s="15" t="n">
        <x:v>0.7077893518518519</x:v>
      </x:c>
      <x:c r="I260" s="17" t="n">
        <x:f>ROUND((H260-E260)*86400,0)</x:f>
        <x:v>5</x:v>
      </x:c>
      <x:c r="J260" s="16" t="str">
        <x:v>14590126</x:v>
      </x:c>
      <x:c r="K260" s="13" t="str">
        <x:v>Hey, [Phil?], are you scanning?</x:v>
      </x:c>
      <x:c r="L260" s="13" t="str">
        <x:v>I am.</x:v>
      </x:c>
      <x:c r="M260" s="13" t="str">
        <x:v>Transcript association</x:v>
      </x:c>
      <x:c r="N260" s="13" t="str">
        <x:v>Phil is not a unique first name on the roster; Philip Valadez is a candidate because of a separate Valadez hail.</x:v>
      </x:c>
      <x:c r="O260" s="18" t="str">
        <x:v>Not reviewed</x:v>
      </x:c>
      <x:c r="P260" s="19" t="str">
        <x:v>https://afpd-accountability.com/records/openmhz/openmhz-afpd-car-to-car-2026-10-08/dcfems-6001-1791500348.m4a</x:v>
      </x:c>
      <x:c r="Q260" s="19" t="str">
        <x:v>https://afpd-accountability.com/records/openmhz/openmhz-afpd-car-to-car-2026-10-08/dcfems-6001-1791500353.m4a</x:v>
      </x:c>
      <x:c r="R260" s="19" t="str">
        <x:v>https://afpd-accountability.com/police-radio/?date=2026-10-08</x:v>
      </x:c>
      <x:c r="S260" s="13" t="n">
        <x:v>5</x:v>
      </x:c>
    </x:row>
    <x:row r="261" ht="60" customHeight="1">
      <x:c r="A261" s="13" t="str">
        <x:v>E254</x:v>
      </x:c>
      <x:c r="B261" s="13" t="str">
        <x:v>Pitt</x:v>
      </x:c>
      <x:c r="C261" s="14" t="n">
        <x:v>46303</x:v>
      </x:c>
      <x:c r="D261" s="13" t="n">
        <x:v>181</x:v>
      </x:c>
      <x:c r="E261" s="15" t="n">
        <x:v>0.8534490740740741</x:v>
      </x:c>
      <x:c r="F261" s="16" t="str">
        <x:v>14590099</x:v>
      </x:c>
      <x:c r="G261" s="13" t="n">
        <x:v>182</x:v>
      </x:c>
      <x:c r="H261" s="15" t="n">
        <x:v>0.8535185185185186</x:v>
      </x:c>
      <x:c r="I261" s="17" t="n">
        <x:f>ROUND((H261-E261)*86400,0)</x:f>
        <x:v>6</x:v>
      </x:c>
      <x:c r="J261" s="16" t="str">
        <x:v>14590114</x:v>
      </x:c>
      <x:c r="K261" s="13" t="str">
        <x:v>Hey, [Pitt?], we're good to go there and check that out and get a hold of [unclear ending].</x:v>
      </x:c>
      <x:c r="L261" s="13" t="str">
        <x:v>Yeah, I'm just on 300 West [unclear wording], but I was just on my way.</x:v>
      </x:c>
      <x:c r="M261" s="13" t="str">
        <x:v>Transcript association</x:v>
      </x:c>
      <x:c r="N261" s="13" t="str"/>
      <x:c r="O261" s="18" t="str">
        <x:v>Not reviewed</x:v>
      </x:c>
      <x:c r="P261" s="19" t="str">
        <x:v>https://afpd-accountability.com/records/openmhz/openmhz-afpd-car-to-car-2026-10-08/dcfems-6001-1791512938.m4a</x:v>
      </x:c>
      <x:c r="Q261" s="19" t="str">
        <x:v>https://afpd-accountability.com/records/openmhz/openmhz-afpd-car-to-car-2026-10-08/dcfems-6001-1791512944.m4a</x:v>
      </x:c>
      <x:c r="R261" s="19" t="str">
        <x:v>https://afpd-accountability.com/police-radio/?date=2026-10-08</x:v>
      </x:c>
      <x:c r="S261" s="13" t="n">
        <x:v>6</x:v>
      </x:c>
    </x:row>
    <x:row r="262" ht="60" customHeight="1">
      <x:c r="A262" s="13" t="str">
        <x:v>E255</x:v>
      </x:c>
      <x:c r="B262" s="13" t="str">
        <x:v>Somerville</x:v>
      </x:c>
      <x:c r="C262" s="14" t="n">
        <x:v>46303</x:v>
      </x:c>
      <x:c r="D262" s="13" t="n">
        <x:v>203</x:v>
      </x:c>
      <x:c r="E262" s="15" t="n">
        <x:v>0.9447337962962963</x:v>
      </x:c>
      <x:c r="F262" s="16" t="str">
        <x:v>14590085</x:v>
      </x:c>
      <x:c r="G262" s="13" t="n">
        <x:v>204</x:v>
      </x:c>
      <x:c r="H262" s="15" t="n">
        <x:v>0.944837962962963</x:v>
      </x:c>
      <x:c r="I262" s="17" t="n">
        <x:f>ROUND((H262-E262)*86400,0)</x:f>
        <x:v>9</x:v>
      </x:c>
      <x:c r="J262" s="16" t="str">
        <x:v>14590073</x:v>
      </x:c>
      <x:c r="K262" s="13" t="str">
        <x:v>Somerville, I'm going to go past the house on this street and go up to 350 South to see if I see the car in the driveway.</x:v>
      </x:c>
      <x:c r="L262" s="13" t="str">
        <x:v>I'm on the phone, [unclear wording] right now.</x:v>
      </x:c>
      <x:c r="M262" s="13" t="str">
        <x:v>Transcript association</x:v>
      </x:c>
      <x:c r="N262" s="13" t="str"/>
      <x:c r="O262" s="18" t="str">
        <x:v>Not reviewed</x:v>
      </x:c>
      <x:c r="P262" s="19" t="str">
        <x:v>https://afpd-accountability.com/records/openmhz/openmhz-afpd-car-to-car-2026-10-08/dcfems-6001-1791520825.m4a</x:v>
      </x:c>
      <x:c r="Q262" s="19" t="str">
        <x:v>https://afpd-accountability.com/records/openmhz/openmhz-afpd-car-to-car-2026-10-08/dcfems-6001-1791520834.m4a</x:v>
      </x:c>
      <x:c r="R262" s="19" t="str">
        <x:v>https://afpd-accountability.com/police-radio/?date=2026-10-08</x:v>
      </x:c>
      <x:c r="S262" s="13" t="n">
        <x:v>9</x:v>
      </x:c>
    </x:row>
    <x:row r="263" ht="60" customHeight="1">
      <x:c r="A263" s="13" t="str">
        <x:v>E256</x:v>
      </x:c>
      <x:c r="B263" s="13" t="str">
        <x:v>Somerville</x:v>
      </x:c>
      <x:c r="C263" s="14" t="n">
        <x:v>46304</x:v>
      </x:c>
      <x:c r="D263" s="13" t="n">
        <x:v>9</x:v>
      </x:c>
      <x:c r="E263" s="15" t="n">
        <x:v>0.07149305555555556</x:v>
      </x:c>
      <x:c r="F263" s="16" t="str">
        <x:v>14590103</x:v>
      </x:c>
      <x:c r="G263" s="13" t="n">
        <x:v>11</x:v>
      </x:c>
      <x:c r="H263" s="15" t="n">
        <x:v>0.0716087962962963</x:v>
      </x:c>
      <x:c r="I263" s="17" t="n">
        <x:f>ROUND((H263-E263)*86400,0)</x:f>
        <x:v>10</x:v>
      </x:c>
      <x:c r="J263" s="16" t="str">
        <x:v>14590073</x:v>
      </x:c>
      <x:c r="K263" s="13" t="str">
        <x:v>[Hey / okay], Somerville, that truck.</x:v>
      </x:c>
      <x:c r="L263" s="13" t="str">
        <x:v>I was too distracted by his extremely bright headlights, but it might have been.</x:v>
      </x:c>
      <x:c r="M263" s="13" t="str">
        <x:v>Transcript association</x:v>
      </x:c>
      <x:c r="N263" s="13" t="str"/>
      <x:c r="O263" s="18" t="str">
        <x:v>Not reviewed</x:v>
      </x:c>
      <x:c r="P263" s="19" t="str">
        <x:v>https://afpd-accountability.com/records/openmhz/openmhz-afpd-car-to-car-2026-10-09/dcfems-6001-1791531777.m4a</x:v>
      </x:c>
      <x:c r="Q263" s="19" t="str">
        <x:v>https://afpd-accountability.com/records/openmhz/openmhz-afpd-car-to-car-2026-10-09/dcfems-6001-1791531787.m4a</x:v>
      </x:c>
      <x:c r="R263" s="19" t="str">
        <x:v>https://afpd-accountability.com/police-radio/?date=2026-10-09</x:v>
      </x:c>
      <x:c r="S263" s="13" t="n">
        <x:v>10</x:v>
      </x:c>
    </x:row>
    <x:row r="264" ht="60" customHeight="1">
      <x:c r="A264" s="13" t="str">
        <x:v>E257</x:v>
      </x:c>
      <x:c r="B264" s="13" t="str">
        <x:v>Gonzalez / David</x:v>
      </x:c>
      <x:c r="C264" s="14" t="n">
        <x:v>46304</x:v>
      </x:c>
      <x:c r="D264" s="13" t="n">
        <x:v>61</x:v>
      </x:c>
      <x:c r="E264" s="15" t="n">
        <x:v>0.10693287037037037</x:v>
      </x:c>
      <x:c r="F264" s="16" t="str">
        <x:v>14590042</x:v>
      </x:c>
      <x:c r="G264" s="13" t="n">
        <x:v>62</x:v>
      </x:c>
      <x:c r="H264" s="15" t="n">
        <x:v>0.10700231481481481</x:v>
      </x:c>
      <x:c r="I264" s="17" t="n">
        <x:f>ROUND((H264-E264)*86400,0)</x:f>
        <x:v>6</x:v>
      </x:c>
      <x:c r="J264" s="16" t="str">
        <x:v>14580152</x:v>
      </x:c>
      <x:c r="K264" s="13" t="str">
        <x:v>[David], [what's your calling / what are you doing; wording uncertain]?</x:v>
      </x:c>
      <x:c r="L264" s="13" t="str">
        <x:v>In the backyard.</x:v>
      </x:c>
      <x:c r="M264" s="13" t="str">
        <x:v>Transcript association</x:v>
      </x:c>
      <x:c r="N264" s="13" t="str"/>
      <x:c r="O264" s="18" t="str">
        <x:v>Not reviewed</x:v>
      </x:c>
      <x:c r="P264" s="19" t="str">
        <x:v>https://afpd-accountability.com/records/openmhz/openmhz-afpd-car-to-car-2026-10-09/dcfems-6001-1791534839.m4a</x:v>
      </x:c>
      <x:c r="Q264" s="19" t="str">
        <x:v>https://afpd-accountability.com/records/openmhz/openmhz-afpd-car-to-car-2026-10-09/dcfems-6001-1791534845.m4a</x:v>
      </x:c>
      <x:c r="R264" s="19" t="str">
        <x:v>https://afpd-accountability.com/police-radio/?date=2026-10-09</x:v>
      </x:c>
      <x:c r="S264" s="13" t="n">
        <x:v>6</x:v>
      </x:c>
    </x:row>
    <x:row r="265" ht="60" customHeight="1">
      <x:c r="A265" s="13" t="str">
        <x:v>E258</x:v>
      </x:c>
      <x:c r="B265" s="13" t="str">
        <x:v>Phil</x:v>
      </x:c>
      <x:c r="C265" s="14" t="n">
        <x:v>46304</x:v>
      </x:c>
      <x:c r="D265" s="13" t="n">
        <x:v>73</x:v>
      </x:c>
      <x:c r="E265" s="15" t="n">
        <x:v>0.31277777777777777</x:v>
      </x:c>
      <x:c r="F265" s="16" t="str">
        <x:v>14590111</x:v>
      </x:c>
      <x:c r="G265" s="13" t="n">
        <x:v>74</x:v>
      </x:c>
      <x:c r="H265" s="15" t="n">
        <x:v>0.3128240740740741</x:v>
      </x:c>
      <x:c r="I265" s="17" t="n">
        <x:f>ROUND((H265-E265)*86400,0)</x:f>
        <x:v>4</x:v>
      </x:c>
      <x:c r="J265" s="16" t="str">
        <x:v>14590126</x:v>
      </x:c>
      <x:c r="K265" s="13" t="str">
        <x:v>Phil, is that you behind me?</x:v>
      </x:c>
      <x:c r="L265" s="13" t="str">
        <x:v>Yeah, [and / I'll] just turn on the lights.</x:v>
      </x:c>
      <x:c r="M265" s="13" t="str">
        <x:v>Transcript association</x:v>
      </x:c>
      <x:c r="N265" s="13" t="str">
        <x:v>Phil is not a unique first name on the roster; Philip Valadez is a candidate because of a separate Valadez hail.</x:v>
      </x:c>
      <x:c r="O265" s="18" t="str">
        <x:v>Not reviewed</x:v>
      </x:c>
      <x:c r="P265" s="19" t="str">
        <x:v>https://afpd-accountability.com/records/openmhz/openmhz-afpd-car-to-car-2026-10-09/dcfems-6001-1791552624.m4a</x:v>
      </x:c>
      <x:c r="Q265" s="19" t="str">
        <x:v>https://afpd-accountability.com/records/openmhz/openmhz-afpd-car-to-car-2026-10-09/dcfems-6001-1791552628.m4a</x:v>
      </x:c>
      <x:c r="R265" s="19" t="str">
        <x:v>https://afpd-accountability.com/police-radio/?date=2026-10-09</x:v>
      </x:c>
      <x:c r="S265" s="13" t="n">
        <x:v>4</x:v>
      </x:c>
    </x:row>
    <x:row r="266" ht="60" customHeight="1">
      <x:c r="A266" s="13" t="str">
        <x:v>E259</x:v>
      </x:c>
      <x:c r="B266" s="13" t="str">
        <x:v>Kitchen</x:v>
      </x:c>
      <x:c r="C266" s="14" t="n">
        <x:v>46304</x:v>
      </x:c>
      <x:c r="D266" s="13" t="n">
        <x:v>100</x:v>
      </x:c>
      <x:c r="E266" s="15" t="n">
        <x:v>0.3676041666666667</x:v>
      </x:c>
      <x:c r="F266" s="16" t="str">
        <x:v>14590100</x:v>
      </x:c>
      <x:c r="G266" s="13" t="n">
        <x:v>101</x:v>
      </x:c>
      <x:c r="H266" s="15" t="n">
        <x:v>0.36766203703703704</x:v>
      </x:c>
      <x:c r="I266" s="17" t="n">
        <x:f>ROUND((H266-E266)*86400,0)</x:f>
        <x:v>5</x:v>
      </x:c>
      <x:c r="J266" s="16" t="str">
        <x:v>14590043</x:v>
      </x:c>
      <x:c r="K266" s="13" t="str">
        <x:v>[Jason / Kitchen], how fast is he going?</x:v>
      </x:c>
      <x:c r="L266" s="13" t="str">
        <x:v>36.</x:v>
      </x:c>
      <x:c r="M266" s="13" t="str">
        <x:v>Single-day candidate</x:v>
      </x:c>
      <x:c r="N266" s="13" t="str">
        <x:v>Name is transcribed as [Jason / Kitchen]; audio review needed.</x:v>
      </x:c>
      <x:c r="O266" s="18" t="str">
        <x:v>Not reviewed</x:v>
      </x:c>
      <x:c r="P266" s="19" t="str">
        <x:v>https://afpd-accountability.com/records/openmhz/openmhz-afpd-car-to-car-2026-10-09/dcfems-6001-1791557361.m4a</x:v>
      </x:c>
      <x:c r="Q266" s="19" t="str">
        <x:v>https://afpd-accountability.com/records/openmhz/openmhz-afpd-car-to-car-2026-10-09/dcfems-6001-1791557366.m4a</x:v>
      </x:c>
      <x:c r="R266" s="19" t="str">
        <x:v>https://afpd-accountability.com/police-radio/?date=2026-10-09</x:v>
      </x:c>
      <x:c r="S266" s="13" t="n">
        <x:v>5</x:v>
      </x:c>
    </x:row>
    <x:row r="267" ht="60" customHeight="1">
      <x:c r="A267" s="13" t="str">
        <x:v>E260</x:v>
      </x:c>
      <x:c r="B267" s="13" t="str">
        <x:v>Heaton / Colby</x:v>
      </x:c>
      <x:c r="C267" s="14" t="n">
        <x:v>46304</x:v>
      </x:c>
      <x:c r="D267" s="13" t="n">
        <x:v>131</x:v>
      </x:c>
      <x:c r="E267" s="15" t="n">
        <x:v>0.47076388888888887</x:v>
      </x:c>
      <x:c r="F267" s="16" t="str">
        <x:v>14590225</x:v>
      </x:c>
      <x:c r="G267" s="13" t="n">
        <x:v>132</x:v>
      </x:c>
      <x:c r="H267" s="15" t="n">
        <x:v>0.4708333333333333</x:v>
      </x:c>
      <x:c r="I267" s="17" t="n">
        <x:f>ROUND((H267-E267)*86400,0)</x:f>
        <x:v>6</x:v>
      </x:c>
      <x:c r="J267" s="16" t="str">
        <x:v>14590031</x:v>
      </x:c>
      <x:c r="K267" s="13" t="str">
        <x:v>Hey, Colby, [on / out] here?</x:v>
      </x:c>
      <x:c r="L267" s="13" t="str">
        <x:v>Yes.</x:v>
      </x:c>
      <x:c r="M267" s="13" t="str">
        <x:v>Transcript association</x:v>
      </x:c>
      <x:c r="N267" s="13" t="str">
        <x:v>Includes both Heaton and Colby hails. 14590100 also answers Sam; 14590091 answers other names. Officer/crew assignment is unresolved.</x:v>
      </x:c>
      <x:c r="O267" s="18" t="str">
        <x:v>Not reviewed</x:v>
      </x:c>
      <x:c r="P267" s="19" t="str">
        <x:v>https://afpd-accountability.com/records/openmhz/openmhz-afpd-car-to-car-2026-10-09/dcfems-6001-1791566274.m4a</x:v>
      </x:c>
      <x:c r="Q267" s="19" t="str">
        <x:v>https://afpd-accountability.com/records/openmhz/openmhz-afpd-car-to-car-2026-10-09/dcfems-6001-1791566280.m4a</x:v>
      </x:c>
      <x:c r="R267" s="19" t="str">
        <x:v>https://afpd-accountability.com/police-radio/?date=2026-10-09</x:v>
      </x:c>
      <x:c r="S267" s="13" t="n">
        <x:v>6</x:v>
      </x:c>
    </x:row>
    <x:row r="268" ht="60" customHeight="1">
      <x:c r="A268" s="13" t="str">
        <x:v>E261</x:v>
      </x:c>
      <x:c r="B268" s="13" t="str">
        <x:v>Diego / Garcia</x:v>
      </x:c>
      <x:c r="C268" s="14" t="n">
        <x:v>46304</x:v>
      </x:c>
      <x:c r="D268" s="13" t="n">
        <x:v>136</x:v>
      </x:c>
      <x:c r="E268" s="15" t="n">
        <x:v>0.4816782407407407</x:v>
      </x:c>
      <x:c r="F268" s="16" t="str">
        <x:v>14590087</x:v>
      </x:c>
      <x:c r="G268" s="13" t="n">
        <x:v>137</x:v>
      </x:c>
      <x:c r="H268" s="15" t="n">
        <x:v>0.4817592592592593</x:v>
      </x:c>
      <x:c r="I268" s="17" t="n">
        <x:f>ROUND((H268-E268)*86400,0)</x:f>
        <x:v>7</x:v>
      </x:c>
      <x:c r="J268" s="16" t="str">
        <x:v>14590111</x:v>
      </x:c>
      <x:c r="K268" s="13" t="str">
        <x:v>I'll head over there if you're going, Diego.</x:v>
      </x:c>
      <x:c r="L268" s="13" t="str">
        <x:v>Yeah, I don't mind trying it. I'll head over.</x:v>
      </x:c>
      <x:c r="M268" s="13" t="str">
        <x:v>Transcript association</x:v>
      </x:c>
      <x:c r="N268" s="13" t="str"/>
      <x:c r="O268" s="18" t="str">
        <x:v>Not reviewed</x:v>
      </x:c>
      <x:c r="P268" s="19" t="str">
        <x:v>https://afpd-accountability.com/records/openmhz/openmhz-afpd-car-to-car-2026-10-09/dcfems-6001-1791567217.m4a</x:v>
      </x:c>
      <x:c r="Q268" s="19" t="str">
        <x:v>https://afpd-accountability.com/records/openmhz/openmhz-afpd-car-to-car-2026-10-09/dcfems-6001-1791567224.m4a</x:v>
      </x:c>
      <x:c r="R268" s="19" t="str">
        <x:v>https://afpd-accountability.com/police-radio/?date=2026-10-09</x:v>
      </x:c>
      <x:c r="S268" s="13" t="n">
        <x:v>7</x:v>
      </x:c>
    </x:row>
    <x:row r="269" ht="60" customHeight="1">
      <x:c r="A269" s="13" t="str">
        <x:v>E262</x:v>
      </x:c>
      <x:c r="B269" s="13" t="str">
        <x:v>Phil</x:v>
      </x:c>
      <x:c r="C269" s="14" t="n">
        <x:v>46304</x:v>
      </x:c>
      <x:c r="D269" s="13" t="n">
        <x:v>152</x:v>
      </x:c>
      <x:c r="E269" s="15" t="n">
        <x:v>0.5671875</x:v>
      </x:c>
      <x:c r="F269" s="16" t="str">
        <x:v>14590111</x:v>
      </x:c>
      <x:c r="G269" s="13" t="n">
        <x:v>153</x:v>
      </x:c>
      <x:c r="H269" s="15" t="n">
        <x:v>0.5672453703703704</x:v>
      </x:c>
      <x:c r="I269" s="17" t="n">
        <x:f>ROUND((H269-E269)*86400,0)</x:f>
        <x:v>5</x:v>
      </x:c>
      <x:c r="J269" s="16" t="str">
        <x:v>14590126</x:v>
      </x:c>
      <x:c r="K269" s="13" t="str">
        <x:v>It's okay, Phil. You can hold for a minute.</x:v>
      </x:c>
      <x:c r="L269" s="13" t="str">
        <x:v>All right, sounds good.</x:v>
      </x:c>
      <x:c r="M269" s="13" t="str">
        <x:v>Transcript association</x:v>
      </x:c>
      <x:c r="N269" s="13" t="str">
        <x:v>Phil is not a unique first name on the roster; Philip Valadez is a candidate because of a separate Valadez hail.</x:v>
      </x:c>
      <x:c r="O269" s="18" t="str">
        <x:v>Not reviewed</x:v>
      </x:c>
      <x:c r="P269" s="19" t="str">
        <x:v>https://afpd-accountability.com/records/openmhz/openmhz-afpd-car-to-car-2026-10-09/dcfems-6001-1791574605.m4a</x:v>
      </x:c>
      <x:c r="Q269" s="19" t="str">
        <x:v>https://afpd-accountability.com/records/openmhz/openmhz-afpd-car-to-car-2026-10-09/dcfems-6001-1791574610.m4a</x:v>
      </x:c>
      <x:c r="R269" s="19" t="str">
        <x:v>https://afpd-accountability.com/police-radio/?date=2026-10-09</x:v>
      </x:c>
      <x:c r="S269" s="13" t="n">
        <x:v>5</x:v>
      </x:c>
    </x:row>
    <x:row r="270" ht="60" customHeight="1">
      <x:c r="A270" s="13" t="str">
        <x:v>E263</x:v>
      </x:c>
      <x:c r="B270" s="13" t="str">
        <x:v>Diego / Garcia</x:v>
      </x:c>
      <x:c r="C270" s="14" t="n">
        <x:v>46304</x:v>
      </x:c>
      <x:c r="D270" s="13" t="n">
        <x:v>194</x:v>
      </x:c>
      <x:c r="E270" s="15" t="n">
        <x:v>0.7356134259259259</x:v>
      </x:c>
      <x:c r="F270" s="16" t="str">
        <x:v>14590020</x:v>
      </x:c>
      <x:c r="G270" s="13" t="n">
        <x:v>195</x:v>
      </x:c>
      <x:c r="H270" s="15" t="n">
        <x:v>0.7359143518518518</x:v>
      </x:c>
      <x:c r="I270" s="17" t="n">
        <x:f>ROUND((H270-E270)*86400,0)</x:f>
        <x:v>26</x:v>
      </x:c>
      <x:c r="J270" s="16" t="str">
        <x:v>14590111</x:v>
      </x:c>
      <x:c r="K270" s="13" t="str">
        <x:v>Where you at, Diego?</x:v>
      </x:c>
      <x:c r="L270" s="13" t="str">
        <x:v>I was south on Meadow Lane, just coming back towards [Bethway / unclear location].</x:v>
      </x:c>
      <x:c r="M270" s="13" t="str">
        <x:v>Transcript association</x:v>
      </x:c>
      <x:c r="N270" s="13" t="str"/>
      <x:c r="O270" s="18" t="str">
        <x:v>Not reviewed</x:v>
      </x:c>
      <x:c r="P270" s="19" t="str">
        <x:v>https://afpd-accountability.com/records/openmhz/openmhz-afpd-car-to-car-2026-10-09/dcfems-6001-1791589157.m4a</x:v>
      </x:c>
      <x:c r="Q270" s="19" t="str">
        <x:v>https://afpd-accountability.com/records/openmhz/openmhz-afpd-car-to-car-2026-10-09/dcfems-6001-1791589183.m4a</x:v>
      </x:c>
      <x:c r="R270" s="19" t="str">
        <x:v>https://afpd-accountability.com/police-radio/?date=2026-10-09</x:v>
      </x:c>
      <x:c r="S270" s="13" t="n">
        <x:v>26</x:v>
      </x:c>
    </x:row>
    <x:row r="271" ht="60" customHeight="1">
      <x:c r="A271" s="13" t="str">
        <x:v>E264</x:v>
      </x:c>
      <x:c r="B271" s="13" t="str">
        <x:v>Makai / Kelepi</x:v>
      </x:c>
      <x:c r="C271" s="14" t="n">
        <x:v>46304</x:v>
      </x:c>
      <x:c r="D271" s="13" t="n">
        <x:v>226</x:v>
      </x:c>
      <x:c r="E271" s="15" t="n">
        <x:v>0.749375</x:v>
      </x:c>
      <x:c r="F271" s="16" t="str">
        <x:v>14590020</x:v>
      </x:c>
      <x:c r="G271" s="13" t="n">
        <x:v>227</x:v>
      </x:c>
      <x:c r="H271" s="15" t="n">
        <x:v>0.7494444444444445</x:v>
      </x:c>
      <x:c r="I271" s="17" t="n">
        <x:f>ROUND((H271-E271)*86400,0)</x:f>
        <x:v>6</x:v>
      </x:c>
      <x:c r="J271" s="16" t="str">
        <x:v>14590084</x:v>
      </x:c>
      <x:c r="K271" s="13" t="str">
        <x:v>[Kalepi / Kalefi], shouldn't you be going home?</x:v>
      </x:c>
      <x:c r="L271" s="13" t="str">
        <x:v>[Hey, doo-doo / unclear response].</x:v>
      </x:c>
      <x:c r="M271" s="13" t="str">
        <x:v>Transcript association</x:v>
      </x:c>
      <x:c r="N271" s="13" t="str"/>
      <x:c r="O271" s="18" t="str">
        <x:v>Not reviewed</x:v>
      </x:c>
      <x:c r="P271" s="19" t="str">
        <x:v>https://afpd-accountability.com/records/openmhz/openmhz-afpd-car-to-car-2026-10-09/dcfems-6001-1791590346.m4a</x:v>
      </x:c>
      <x:c r="Q271" s="19" t="str">
        <x:v>https://afpd-accountability.com/records/openmhz/openmhz-afpd-car-to-car-2026-10-09/dcfems-6001-1791590352.m4a</x:v>
      </x:c>
      <x:c r="R271" s="19" t="str">
        <x:v>https://afpd-accountability.com/police-radio/?date=2026-10-09</x:v>
      </x:c>
      <x:c r="S271" s="13" t="n">
        <x:v>6</x:v>
      </x:c>
    </x:row>
    <x:row r="272" ht="60" customHeight="1">
      <x:c r="A272" s="13" t="str">
        <x:v>E265</x:v>
      </x:c>
      <x:c r="B272" s="13" t="str">
        <x:v>Ron</x:v>
      </x:c>
      <x:c r="C272" s="14" t="n">
        <x:v>46304</x:v>
      </x:c>
      <x:c r="D272" s="13" t="n">
        <x:v>239</x:v>
      </x:c>
      <x:c r="E272" s="15" t="n">
        <x:v>0.7509143518518518</x:v>
      </x:c>
      <x:c r="F272" s="16" t="str">
        <x:v>14590087</x:v>
      </x:c>
      <x:c r="G272" s="13" t="n">
        <x:v>240</x:v>
      </x:c>
      <x:c r="H272" s="15" t="n">
        <x:v>0.7509953703703703</x:v>
      </x:c>
      <x:c r="I272" s="17" t="n">
        <x:f>ROUND((H272-E272)*86400,0)</x:f>
        <x:v>7</x:v>
      </x:c>
      <x:c r="J272" s="16" t="str">
        <x:v>14590207</x:v>
      </x:c>
      <x:c r="K272" s="13" t="str">
        <x:v>[Ron], do you need help with your [enrollment / unclear word]?</x:v>
      </x:c>
      <x:c r="L272" s="13" t="str">
        <x:v>[No], I'm good.</x:v>
      </x:c>
      <x:c r="M272" s="13" t="str">
        <x:v>Transcript association</x:v>
      </x:c>
      <x:c r="N272" s="13" t="str">
        <x:v>Ron could be a name, nickname, or a transcription of Bronson. Several distinct IDs appear; no roster identity assigned.</x:v>
      </x:c>
      <x:c r="O272" s="18" t="str">
        <x:v>Not reviewed</x:v>
      </x:c>
      <x:c r="P272" s="19" t="str">
        <x:v>https://afpd-accountability.com/records/openmhz/openmhz-afpd-car-to-car-2026-10-09/dcfems-6001-1791590479.m4a</x:v>
      </x:c>
      <x:c r="Q272" s="19" t="str">
        <x:v>https://afpd-accountability.com/records/openmhz/openmhz-afpd-car-to-car-2026-10-09/dcfems-6001-1791590486.m4a</x:v>
      </x:c>
      <x:c r="R272" s="19" t="str">
        <x:v>https://afpd-accountability.com/police-radio/?date=2026-10-09</x:v>
      </x:c>
      <x:c r="S272" s="13" t="n">
        <x:v>7</x:v>
      </x:c>
    </x:row>
    <x:row r="273" ht="60" customHeight="1">
      <x:c r="A273" s="13" t="str">
        <x:v>E266</x:v>
      </x:c>
      <x:c r="B273" s="13" t="str">
        <x:v>Cox</x:v>
      </x:c>
      <x:c r="C273" s="14" t="n">
        <x:v>46305</x:v>
      </x:c>
      <x:c r="D273" s="13" t="n">
        <x:v>43</x:v>
      </x:c>
      <x:c r="E273" s="15" t="n">
        <x:v>0.09318287037037037</x:v>
      </x:c>
      <x:c r="F273" s="16" t="str">
        <x:v>14590123</x:v>
      </x:c>
      <x:c r="G273" s="13" t="n">
        <x:v>44</x:v>
      </x:c>
      <x:c r="H273" s="15" t="n">
        <x:v>0.09324074074074074</x:v>
      </x:c>
      <x:c r="I273" s="17" t="n">
        <x:f>ROUND((H273-E273)*86400,0)</x:f>
        <x:v>5</x:v>
      </x:c>
      <x:c r="J273" s="16" t="str">
        <x:v>14590020</x:v>
      </x:c>
      <x:c r="K273" s="13" t="str">
        <x:v>[Cox / uncertain name], [let's just / unclear wording] roll up. Who cares?</x:v>
      </x:c>
      <x:c r="L273" s="13" t="str">
        <x:v>[I'll be / We'll be / unclear acknowledgment].</x:v>
      </x:c>
      <x:c r="M273" s="13" t="str">
        <x:v>Transcript association</x:v>
      </x:c>
      <x:c r="N273" s="13" t="str"/>
      <x:c r="O273" s="18" t="str">
        <x:v>Not reviewed</x:v>
      </x:c>
      <x:c r="P273" s="19" t="str">
        <x:v>https://afpd-accountability.com/records/openmhz/openmhz-afpd-car-to-car-2026-10-10/dcfems-6001-1791620051.m4a</x:v>
      </x:c>
      <x:c r="Q273" s="19" t="str">
        <x:v>https://afpd-accountability.com/records/openmhz/openmhz-afpd-car-to-car-2026-10-10/dcfems-6001-1791620056.m4a</x:v>
      </x:c>
      <x:c r="R273" s="19" t="str">
        <x:v>https://afpd-accountability.com/police-radio/?date=2026-10-10</x:v>
      </x:c>
      <x:c r="S273" s="13" t="n">
        <x:v>5</x:v>
      </x:c>
    </x:row>
    <x:row r="274" ht="60" customHeight="1">
      <x:c r="A274" s="13" t="str">
        <x:v>E267</x:v>
      </x:c>
      <x:c r="B274" s="13" t="str">
        <x:v>Diego / Garcia</x:v>
      </x:c>
      <x:c r="C274" s="14" t="n">
        <x:v>46305</x:v>
      </x:c>
      <x:c r="D274" s="13" t="n">
        <x:v>131</x:v>
      </x:c>
      <x:c r="E274" s="15" t="n">
        <x:v>0.44475694444444447</x:v>
      </x:c>
      <x:c r="F274" s="16" t="str">
        <x:v>14590087</x:v>
      </x:c>
      <x:c r="G274" s="13" t="n">
        <x:v>132</x:v>
      </x:c>
      <x:c r="H274" s="15" t="n">
        <x:v>0.4448958333333333</x:v>
      </x:c>
      <x:c r="I274" s="17" t="n">
        <x:f>ROUND((H274-E274)*86400,0)</x:f>
        <x:v>12</x:v>
      </x:c>
      <x:c r="J274" s="16" t="str">
        <x:v>14590111</x:v>
      </x:c>
      <x:c r="K274" s="13" t="str">
        <x:v>Hey, Diego, I think this might be the Wing Shack at like 450 East.</x:v>
      </x:c>
      <x:c r="L274" s="13" t="str">
        <x:v>Yeah, they just put that in the CAD notes. [They've got to / They're going to] update the address.</x:v>
      </x:c>
      <x:c r="M274" s="13" t="str">
        <x:v>Transcript association</x:v>
      </x:c>
      <x:c r="N274" s="13" t="str"/>
      <x:c r="O274" s="18" t="str">
        <x:v>Not reviewed</x:v>
      </x:c>
      <x:c r="P274" s="19" t="str">
        <x:v>https://afpd-accountability.com/records/openmhz/openmhz-afpd-car-to-car-2026-10-10/dcfems-6001-1791650427.m4a</x:v>
      </x:c>
      <x:c r="Q274" s="19" t="str">
        <x:v>https://afpd-accountability.com/records/openmhz/openmhz-afpd-car-to-car-2026-10-10/dcfems-6001-1791650439.m4a</x:v>
      </x:c>
      <x:c r="R274" s="19" t="str">
        <x:v>https://afpd-accountability.com/police-radio/?date=2026-10-10</x:v>
      </x:c>
      <x:c r="S274" s="13" t="n">
        <x:v>12</x:v>
      </x:c>
    </x:row>
    <x:row r="275" ht="60" customHeight="1">
      <x:c r="A275" s="13" t="str">
        <x:v>E268</x:v>
      </x:c>
      <x:c r="B275" s="13" t="str">
        <x:v>Diego / Garcia</x:v>
      </x:c>
      <x:c r="C275" s="14" t="n">
        <x:v>46305</x:v>
      </x:c>
      <x:c r="D275" s="13" t="n">
        <x:v>194</x:v>
      </x:c>
      <x:c r="E275" s="15" t="n">
        <x:v>0.580625</x:v>
      </x:c>
      <x:c r="F275" s="16" t="str">
        <x:v>14590084</x:v>
      </x:c>
      <x:c r="G275" s="13" t="n">
        <x:v>195</x:v>
      </x:c>
      <x:c r="H275" s="15" t="n">
        <x:v>0.5807523148148148</x:v>
      </x:c>
      <x:c r="I275" s="17" t="n">
        <x:f>ROUND((H275-E275)*86400,0)</x:f>
        <x:v>11</x:v>
      </x:c>
      <x:c r="J275" s="16" t="str">
        <x:v>14590089</x:v>
      </x:c>
      <x:c r="K275" s="13" t="str">
        <x:v>Hey, Diego, can I give you a 21?</x:v>
      </x:c>
      <x:c r="L275" s="13" t="str">
        <x:v>You never have to ask.</x:v>
      </x:c>
      <x:c r="M275" s="13" t="str">
        <x:v>Transcript association</x:v>
      </x:c>
      <x:c r="N275" s="13" t="str"/>
      <x:c r="O275" s="18" t="str">
        <x:v>Not reviewed</x:v>
      </x:c>
      <x:c r="P275" s="19" t="str">
        <x:v>https://afpd-accountability.com/records/openmhz/openmhz-afpd-car-to-car-2026-10-10/dcfems-6001-1791662166.m4a</x:v>
      </x:c>
      <x:c r="Q275" s="19" t="str">
        <x:v>https://afpd-accountability.com/records/openmhz/openmhz-afpd-car-to-car-2026-10-10/dcfems-6001-1791662177.m4a</x:v>
      </x:c>
      <x:c r="R275" s="19" t="str">
        <x:v>https://afpd-accountability.com/police-radio/?date=2026-10-10</x:v>
      </x:c>
      <x:c r="S275" s="13" t="n">
        <x:v>11</x:v>
      </x:c>
    </x:row>
    <x:row r="276" ht="60" customHeight="1">
      <x:c r="A276" s="13" t="str">
        <x:v>E269</x:v>
      </x:c>
      <x:c r="B276" s="13" t="str">
        <x:v>Mason</x:v>
      </x:c>
      <x:c r="C276" s="14" t="n">
        <x:v>46305</x:v>
      </x:c>
      <x:c r="D276" s="13" t="n">
        <x:v>219</x:v>
      </x:c>
      <x:c r="E276" s="15" t="n">
        <x:v>0.6523958333333333</x:v>
      </x:c>
      <x:c r="F276" s="16" t="str">
        <x:v>14590247</x:v>
      </x:c>
      <x:c r="G276" s="13" t="n">
        <x:v>220</x:v>
      </x:c>
      <x:c r="H276" s="15" t="n">
        <x:v>0.6526273148148148</x:v>
      </x:c>
      <x:c r="I276" s="17" t="n">
        <x:f>ROUND((H276-E276)*86400,0)</x:f>
        <x:v>20</x:v>
      </x:c>
      <x:c r="J276" s="16" t="str">
        <x:v>14590237</x:v>
      </x:c>
      <x:c r="K276" s="13" t="str">
        <x:v>Yeah, Mason, I don't know where that guy went. He's long gone by now.</x:v>
      </x:c>
      <x:c r="L276" s="13" t="str">
        <x:v>Copy. Yeah, [it / he] probably got spooked.</x:v>
      </x:c>
      <x:c r="M276" s="13" t="str">
        <x:v>Transcript association</x:v>
      </x:c>
      <x:c r="N276" s="13" t="str"/>
      <x:c r="O276" s="18" t="str">
        <x:v>Not reviewed</x:v>
      </x:c>
      <x:c r="P276" s="19" t="str">
        <x:v>https://afpd-accountability.com/records/openmhz/openmhz-afpd-car-to-car-2026-10-10/dcfems-6001-1791668367.m4a</x:v>
      </x:c>
      <x:c r="Q276" s="19" t="str">
        <x:v>https://afpd-accountability.com/records/openmhz/openmhz-afpd-car-to-car-2026-10-10/dcfems-6001-1791668387.m4a</x:v>
      </x:c>
      <x:c r="R276" s="19" t="str">
        <x:v>https://afpd-accountability.com/police-radio/?date=2026-10-10</x:v>
      </x:c>
      <x:c r="S276" s="13" t="n">
        <x:v>20</x:v>
      </x:c>
    </x:row>
    <x:row r="277" ht="60" customHeight="1">
      <x:c r="A277" s="13" t="str">
        <x:v>E270</x:v>
      </x:c>
      <x:c r="B277" s="13" t="str">
        <x:v>Mason</x:v>
      </x:c>
      <x:c r="C277" s="14" t="n">
        <x:v>46305</x:v>
      </x:c>
      <x:c r="D277" s="13" t="n">
        <x:v>236</x:v>
      </x:c>
      <x:c r="E277" s="15" t="n">
        <x:v>0.67625</x:v>
      </x:c>
      <x:c r="F277" s="16" t="str">
        <x:v>14590088</x:v>
      </x:c>
      <x:c r="G277" s="13" t="n">
        <x:v>237</x:v>
      </x:c>
      <x:c r="H277" s="15" t="n">
        <x:v>0.6763425925925926</x:v>
      </x:c>
      <x:c r="I277" s="17" t="n">
        <x:f>ROUND((H277-E277)*86400,0)</x:f>
        <x:v>8</x:v>
      </x:c>
      <x:c r="J277" s="16" t="str">
        <x:v>14590315</x:v>
      </x:c>
      <x:c r="K277" s="13" t="str">
        <x:v>Mason, what way are you going? I just pulled into [Harts / unclear place name].</x:v>
      </x:c>
      <x:c r="L277" s="13" t="str">
        <x:v>[Next / unclear opening], Dalton's Memorial Engraving.</x:v>
      </x:c>
      <x:c r="M277" s="13" t="str">
        <x:v>Transcript association</x:v>
      </x:c>
      <x:c r="N277" s="13" t="str"/>
      <x:c r="O277" s="18" t="str">
        <x:v>Not reviewed</x:v>
      </x:c>
      <x:c r="P277" s="19" t="str">
        <x:v>https://afpd-accountability.com/records/openmhz/openmhz-afpd-car-to-car-2026-10-10/dcfems-6001-1791670428.m4a</x:v>
      </x:c>
      <x:c r="Q277" s="19" t="str">
        <x:v>https://afpd-accountability.com/records/openmhz/openmhz-afpd-car-to-car-2026-10-10/dcfems-6001-1791670436.m4a</x:v>
      </x:c>
      <x:c r="R277" s="19" t="str">
        <x:v>https://afpd-accountability.com/police-radio/?date=2026-10-10</x:v>
      </x:c>
      <x:c r="S277" s="13" t="n">
        <x:v>8</x:v>
      </x:c>
    </x:row>
    <x:row r="278" ht="60" customHeight="1">
      <x:c r="A278" s="13" t="str">
        <x:v>E271</x:v>
      </x:c>
      <x:c r="B278" s="13" t="str">
        <x:v>Mason</x:v>
      </x:c>
      <x:c r="C278" s="14" t="n">
        <x:v>46305</x:v>
      </x:c>
      <x:c r="D278" s="13" t="n">
        <x:v>244</x:v>
      </x:c>
      <x:c r="E278" s="15" t="n">
        <x:v>0.6794444444444444</x:v>
      </x:c>
      <x:c r="F278" s="16" t="str">
        <x:v>14590088</x:v>
      </x:c>
      <x:c r="G278" s="13" t="n">
        <x:v>245</x:v>
      </x:c>
      <x:c r="H278" s="15" t="n">
        <x:v>0.6795138888888889</x:v>
      </x:c>
      <x:c r="I278" s="17" t="n">
        <x:f>ROUND((H278-E278)*86400,0)</x:f>
        <x:v>6</x:v>
      </x:c>
      <x:c r="J278" s="16" t="str">
        <x:v>14590315</x:v>
      </x:c>
      <x:c r="K278" s="13" t="str">
        <x:v>Hey, Mason, [does it / do they] have anything in the back seat?</x:v>
      </x:c>
      <x:c r="L278" s="13" t="str">
        <x:v>[Unclear opening] two [kids / unclear word] in the back seat.</x:v>
      </x:c>
      <x:c r="M278" s="13" t="str">
        <x:v>Transcript association</x:v>
      </x:c>
      <x:c r="N278" s="13" t="str"/>
      <x:c r="O278" s="18" t="str">
        <x:v>Not reviewed</x:v>
      </x:c>
      <x:c r="P278" s="19" t="str">
        <x:v>https://afpd-accountability.com/records/openmhz/openmhz-afpd-car-to-car-2026-10-10/dcfems-6001-1791670704.m4a</x:v>
      </x:c>
      <x:c r="Q278" s="19" t="str">
        <x:v>https://afpd-accountability.com/records/openmhz/openmhz-afpd-car-to-car-2026-10-10/dcfems-6001-1791670710.m4a</x:v>
      </x:c>
      <x:c r="R278" s="19" t="str">
        <x:v>https://afpd-accountability.com/police-radio/?date=2026-10-10</x:v>
      </x:c>
      <x:c r="S278" s="13" t="n">
        <x:v>6</x:v>
      </x:c>
    </x:row>
    <x:row r="279" ht="60" customHeight="1">
      <x:c r="A279" s="13" t="str">
        <x:v>E272</x:v>
      </x:c>
      <x:c r="B279" s="13" t="str">
        <x:v>Diego / Garcia</x:v>
      </x:c>
      <x:c r="C279" s="14" t="n">
        <x:v>46305</x:v>
      </x:c>
      <x:c r="D279" s="13" t="n">
        <x:v>256</x:v>
      </x:c>
      <x:c r="E279" s="15" t="n">
        <x:v>0.7119097222222223</x:v>
      </x:c>
      <x:c r="F279" s="16" t="str">
        <x:v>14590315</x:v>
      </x:c>
      <x:c r="G279" s="13" t="n">
        <x:v>257</x:v>
      </x:c>
      <x:c r="H279" s="15" t="n">
        <x:v>0.7120023148148148</x:v>
      </x:c>
      <x:c r="I279" s="17" t="n">
        <x:f>ROUND((H279-E279)*86400,0)</x:f>
        <x:v>8</x:v>
      </x:c>
      <x:c r="J279" s="16" t="str">
        <x:v>14590111</x:v>
      </x:c>
      <x:c r="K279" s="13" t="str">
        <x:v>Diego, do you need help with anything?</x:v>
      </x:c>
      <x:c r="L279" s="13" t="str">
        <x:v>I'm good. It just took me a minute to find this guy's [VL / unclear letters].</x:v>
      </x:c>
      <x:c r="M279" s="13" t="str">
        <x:v>Transcript association</x:v>
      </x:c>
      <x:c r="N279" s="13" t="str"/>
      <x:c r="O279" s="18" t="str">
        <x:v>Not reviewed</x:v>
      </x:c>
      <x:c r="P279" s="19" t="str">
        <x:v>https://afpd-accountability.com/records/openmhz/openmhz-afpd-car-to-car-2026-10-10/dcfems-6001-1791673509.m4a</x:v>
      </x:c>
      <x:c r="Q279" s="19" t="str">
        <x:v>https://afpd-accountability.com/records/openmhz/openmhz-afpd-car-to-car-2026-10-10/dcfems-6001-1791673517.m4a</x:v>
      </x:c>
      <x:c r="R279" s="19" t="str">
        <x:v>https://afpd-accountability.com/police-radio/?date=2026-10-10</x:v>
      </x:c>
      <x:c r="S279" s="13" t="n">
        <x:v>8</x:v>
      </x:c>
    </x:row>
    <x:row r="280" ht="60" customHeight="1">
      <x:c r="A280" s="13" t="str">
        <x:v>E273</x:v>
      </x:c>
      <x:c r="B280" s="13" t="str">
        <x:v>Cox</x:v>
      </x:c>
      <x:c r="C280" s="14" t="n">
        <x:v>46305</x:v>
      </x:c>
      <x:c r="D280" s="13" t="n">
        <x:v>283</x:v>
      </x:c>
      <x:c r="E280" s="15" t="n">
        <x:v>0.869525462962963</x:v>
      </x:c>
      <x:c r="F280" s="16" t="str">
        <x:v>14590313</x:v>
      </x:c>
      <x:c r="G280" s="13" t="n">
        <x:v>284</x:v>
      </x:c>
      <x:c r="H280" s="15" t="n">
        <x:v>0.8696180555555556</x:v>
      </x:c>
      <x:c r="I280" s="17" t="n">
        <x:f>ROUND((H280-E280)*86400,0)</x:f>
        <x:v>8</x:v>
      </x:c>
      <x:c r="J280" s="16" t="str">
        <x:v>14580155</x:v>
      </x:c>
      <x:c r="K280" s="13" t="str">
        <x:v>So, [Cox / uncertain name], these vehicles ahead of the ambulance, they're part of the accident. [Unclear ending] right here.</x:v>
      </x:c>
      <x:c r="L280" s="13" t="str">
        <x:v>I'll get the ones on the west side. If you want to get... there's one vehicle involved on the east side that you're at. You can just pull right behind them.</x:v>
      </x:c>
      <x:c r="M280" s="13" t="str">
        <x:v>Transcript association</x:v>
      </x:c>
      <x:c r="N280" s="13" t="str"/>
      <x:c r="O280" s="18" t="str">
        <x:v>Not reviewed</x:v>
      </x:c>
      <x:c r="P280" s="19" t="str">
        <x:v>https://afpd-accountability.com/records/openmhz/openmhz-afpd-car-to-car-2026-10-10/dcfems-6001-1791687127.m4a</x:v>
      </x:c>
      <x:c r="Q280" s="19" t="str">
        <x:v>https://afpd-accountability.com/records/openmhz/openmhz-afpd-car-to-car-2026-10-10/dcfems-6001-1791687135.m4a</x:v>
      </x:c>
      <x:c r="R280" s="19" t="str">
        <x:v>https://afpd-accountability.com/police-radio/?date=2026-10-10</x:v>
      </x:c>
      <x:c r="S280" s="13" t="n">
        <x:v>8</x:v>
      </x:c>
    </x:row>
    <x:row r="281" ht="60" customHeight="1">
      <x:c r="A281" s="13" t="str">
        <x:v>E274</x:v>
      </x:c>
      <x:c r="B281" s="13" t="str">
        <x:v>Cox</x:v>
      </x:c>
      <x:c r="C281" s="14" t="n">
        <x:v>46305</x:v>
      </x:c>
      <x:c r="D281" s="13" t="n">
        <x:v>286</x:v>
      </x:c>
      <x:c r="E281" s="15" t="n">
        <x:v>0.8709375</x:v>
      </x:c>
      <x:c r="F281" s="16" t="str">
        <x:v>14590038</x:v>
      </x:c>
      <x:c r="G281" s="13" t="n">
        <x:v>287</x:v>
      </x:c>
      <x:c r="H281" s="15" t="n">
        <x:v>0.8710648148148148</x:v>
      </x:c>
      <x:c r="I281" s="17" t="n">
        <x:f>ROUND((H281-E281)*86400,0)</x:f>
        <x:v>11</x:v>
      </x:c>
      <x:c r="J281" s="16" t="str">
        <x:v>14580155</x:v>
      </x:c>
      <x:c r="K281" s="13" t="str">
        <x:v>Cox, you want me to just divert all southbound traffic at Pacific?</x:v>
      </x:c>
      <x:c r="L281" s="13" t="str">
        <x:v>We can still get them in this median right here. I don't want to completely freeze up traffic right now, but if we can have somebody specifically stand and kind of direct traffic to the median, that would be great.</x:v>
      </x:c>
      <x:c r="M281" s="13" t="str">
        <x:v>Transcript association</x:v>
      </x:c>
      <x:c r="N281" s="13" t="str"/>
      <x:c r="O281" s="18" t="str">
        <x:v>Not reviewed</x:v>
      </x:c>
      <x:c r="P281" s="19" t="str">
        <x:v>https://afpd-accountability.com/records/openmhz/openmhz-afpd-car-to-car-2026-10-10/dcfems-6001-1791687249.m4a</x:v>
      </x:c>
      <x:c r="Q281" s="19" t="str">
        <x:v>https://afpd-accountability.com/records/openmhz/openmhz-afpd-car-to-car-2026-10-10/dcfems-6001-1791687260.m4a</x:v>
      </x:c>
      <x:c r="R281" s="19" t="str">
        <x:v>https://afpd-accountability.com/police-radio/?date=2026-10-10</x:v>
      </x:c>
      <x:c r="S281" s="13" t="n">
        <x:v>11</x:v>
      </x:c>
    </x:row>
    <x:row r="282" ht="60" customHeight="1">
      <x:c r="A282" s="13" t="str">
        <x:v>E275</x:v>
      </x:c>
      <x:c r="B282" s="13" t="str">
        <x:v>Tonga</x:v>
      </x:c>
      <x:c r="C282" s="14" t="n">
        <x:v>46305</x:v>
      </x:c>
      <x:c r="D282" s="13" t="n">
        <x:v>318</x:v>
      </x:c>
      <x:c r="E282" s="15" t="n">
        <x:v>0.8887847222222223</x:v>
      </x:c>
      <x:c r="F282" s="16" t="str">
        <x:v>14590344</x:v>
      </x:c>
      <x:c r="G282" s="13" t="n">
        <x:v>319</x:v>
      </x:c>
      <x:c r="H282" s="15" t="n">
        <x:v>0.8888541666666666</x:v>
      </x:c>
      <x:c r="I282" s="17" t="n">
        <x:f>ROUND((H282-E282)*86400,0)</x:f>
        <x:v>6</x:v>
      </x:c>
      <x:c r="J282" s="16" t="str">
        <x:v>14590345</x:v>
      </x:c>
      <x:c r="K282" s="13" t="str">
        <x:v>Sorry, [Tonga / uncertain name], I was on the phone. Do you need another?</x:v>
      </x:c>
      <x:c r="L282" s="13" t="str">
        <x:v>Yeah, that'd be great.</x:v>
      </x:c>
      <x:c r="M282" s="13" t="str">
        <x:v>Transcript association</x:v>
      </x:c>
      <x:c r="N282" s="13" t="str"/>
      <x:c r="O282" s="18" t="str">
        <x:v>Not reviewed</x:v>
      </x:c>
      <x:c r="P282" s="19" t="str">
        <x:v>https://afpd-accountability.com/records/openmhz/openmhz-afpd-car-to-car-2026-10-10/dcfems-6001-1791688791.m4a</x:v>
      </x:c>
      <x:c r="Q282" s="19" t="str">
        <x:v>https://afpd-accountability.com/records/openmhz/openmhz-afpd-car-to-car-2026-10-10/dcfems-6001-1791688797.m4a</x:v>
      </x:c>
      <x:c r="R282" s="19" t="str">
        <x:v>https://afpd-accountability.com/police-radio/?date=2026-10-10</x:v>
      </x:c>
      <x:c r="S282" s="13" t="n">
        <x:v>6</x:v>
      </x:c>
    </x:row>
    <x:row r="283" ht="60" customHeight="1">
      <x:c r="A283" s="13" t="str">
        <x:v>E276</x:v>
      </x:c>
      <x:c r="B283" s="13" t="str">
        <x:v>Tonga</x:v>
      </x:c>
      <x:c r="C283" s="14" t="n">
        <x:v>46305</x:v>
      </x:c>
      <x:c r="D283" s="13" t="n">
        <x:v>326</x:v>
      </x:c>
      <x:c r="E283" s="15" t="n">
        <x:v>0.8898379629629629</x:v>
      </x:c>
      <x:c r="F283" s="16" t="str">
        <x:v>14590045</x:v>
      </x:c>
      <x:c r="G283" s="13" t="n">
        <x:v>327</x:v>
      </x:c>
      <x:c r="H283" s="15" t="n">
        <x:v>0.8900578703703703</x:v>
      </x:c>
      <x:c r="I283" s="17" t="n">
        <x:f>ROUND((H283-E283)*86400,0)</x:f>
        <x:v>19</x:v>
      </x:c>
      <x:c r="J283" s="16" t="str">
        <x:v>14590345</x:v>
      </x:c>
      <x:c r="K283" s="13" t="str">
        <x:v>[Tonga / Tom / uncertain name], [what's your 20 / unclear wording]?</x:v>
      </x:c>
      <x:c r="L283" s="13" t="str">
        <x:v>It's just going to be a notice that he's going to be receiving a citation in the mail, nothing big, but he just has alerts for 88 in the home and disorderly.</x:v>
      </x:c>
      <x:c r="M283" s="13" t="str">
        <x:v>Transcript association</x:v>
      </x:c>
      <x:c r="N283" s="13" t="str"/>
      <x:c r="O283" s="18" t="str">
        <x:v>Not reviewed</x:v>
      </x:c>
      <x:c r="P283" s="19" t="str">
        <x:v>https://afpd-accountability.com/records/openmhz/openmhz-afpd-car-to-car-2026-10-10/dcfems-6001-1791688882.m4a</x:v>
      </x:c>
      <x:c r="Q283" s="19" t="str">
        <x:v>https://afpd-accountability.com/records/openmhz/openmhz-afpd-car-to-car-2026-10-10/dcfems-6001-1791688901.m4a</x:v>
      </x:c>
      <x:c r="R283" s="19" t="str">
        <x:v>https://afpd-accountability.com/police-radio/?date=2026-10-10</x:v>
      </x:c>
      <x:c r="S283" s="13" t="n">
        <x:v>19</x:v>
      </x:c>
    </x:row>
    <x:row r="284" ht="60" customHeight="1">
      <x:c r="A284" s="13" t="str">
        <x:v>E277</x:v>
      </x:c>
      <x:c r="B284" s="13" t="str">
        <x:v>Tonga</x:v>
      </x:c>
      <x:c r="C284" s="14" t="n">
        <x:v>46305</x:v>
      </x:c>
      <x:c r="D284" s="13" t="n">
        <x:v>329</x:v>
      </x:c>
      <x:c r="E284" s="15" t="n">
        <x:v>0.8926851851851851</x:v>
      </x:c>
      <x:c r="F284" s="16" t="str">
        <x:v>14590344</x:v>
      </x:c>
      <x:c r="G284" s="13" t="n">
        <x:v>330</x:v>
      </x:c>
      <x:c r="H284" s="15" t="n">
        <x:v>0.8927430555555556</x:v>
      </x:c>
      <x:c r="I284" s="17" t="n">
        <x:f>ROUND((H284-E284)*86400,0)</x:f>
        <x:v>5</x:v>
      </x:c>
      <x:c r="J284" s="16" t="str">
        <x:v>14590345</x:v>
      </x:c>
      <x:c r="K284" s="13" t="str">
        <x:v>I was at Center Street, [Tonga / Tom], I'll be there in a second.</x:v>
      </x:c>
      <x:c r="L284" s="13" t="str">
        <x:v>[Come in / Coming].</x:v>
      </x:c>
      <x:c r="M284" s="13" t="str">
        <x:v>Transcript association</x:v>
      </x:c>
      <x:c r="N284" s="13" t="str"/>
      <x:c r="O284" s="18" t="str">
        <x:v>Not reviewed</x:v>
      </x:c>
      <x:c r="P284" s="19" t="str">
        <x:v>https://afpd-accountability.com/records/openmhz/openmhz-afpd-car-to-car-2026-10-10/dcfems-6001-1791689128.m4a</x:v>
      </x:c>
      <x:c r="Q284" s="19" t="str">
        <x:v>https://afpd-accountability.com/records/openmhz/openmhz-afpd-car-to-car-2026-10-10/dcfems-6001-1791689133.m4a</x:v>
      </x:c>
      <x:c r="R284" s="19" t="str">
        <x:v>https://afpd-accountability.com/police-radio/?date=2026-10-10</x:v>
      </x:c>
      <x:c r="S284" s="13" t="n">
        <x:v>5</x:v>
      </x:c>
    </x:row>
    <x:row r="285" ht="60" customHeight="1">
      <x:c r="A285" s="13" t="str">
        <x:v>E278</x:v>
      </x:c>
      <x:c r="B285" s="13" t="str">
        <x:v>Tonga</x:v>
      </x:c>
      <x:c r="C285" s="14" t="n">
        <x:v>46305</x:v>
      </x:c>
      <x:c r="D285" s="13" t="n">
        <x:v>331</x:v>
      </x:c>
      <x:c r="E285" s="15" t="n">
        <x:v>0.8963078703703704</x:v>
      </x:c>
      <x:c r="F285" s="16" t="str">
        <x:v>14590020</x:v>
      </x:c>
      <x:c r="G285" s="13" t="n">
        <x:v>332</x:v>
      </x:c>
      <x:c r="H285" s="15" t="n">
        <x:v>0.8964467592592592</x:v>
      </x:c>
      <x:c r="I285" s="17" t="n">
        <x:f>ROUND((H285-E285)*86400,0)</x:f>
        <x:v>12</x:v>
      </x:c>
      <x:c r="J285" s="16" t="str">
        <x:v>14590038</x:v>
      </x:c>
      <x:c r="K285" s="13" t="str">
        <x:v>Hey, [Tonga / uncertain name], are you at the door yet?</x:v>
      </x:c>
      <x:c r="L285" s="13" t="str">
        <x:v>Yeah, I'm at the door.</x:v>
      </x:c>
      <x:c r="M285" s="13" t="str">
        <x:v>Transcript association</x:v>
      </x:c>
      <x:c r="N285" s="13" t="str"/>
      <x:c r="O285" s="18" t="str">
        <x:v>Not reviewed</x:v>
      </x:c>
      <x:c r="P285" s="19" t="str">
        <x:v>https://afpd-accountability.com/records/openmhz/openmhz-afpd-car-to-car-2026-10-10/dcfems-6001-1791689441.m4a</x:v>
      </x:c>
      <x:c r="Q285" s="19" t="str">
        <x:v>https://afpd-accountability.com/records/openmhz/openmhz-afpd-car-to-car-2026-10-10/dcfems-6001-1791689453.m4a</x:v>
      </x:c>
      <x:c r="R285" s="19" t="str">
        <x:v>https://afpd-accountability.com/police-radio/?date=2026-10-10</x:v>
      </x:c>
      <x:c r="S285" s="13" t="n">
        <x:v>12</x:v>
      </x:c>
    </x:row>
    <x:row r="286" ht="60" customHeight="1">
      <x:c r="A286" s="13" t="str">
        <x:v>E279</x:v>
      </x:c>
      <x:c r="B286" s="13" t="str">
        <x:v>Tonga</x:v>
      </x:c>
      <x:c r="C286" s="14" t="n">
        <x:v>46306</x:v>
      </x:c>
      <x:c r="D286" s="13" t="n">
        <x:v>16</x:v>
      </x:c>
      <x:c r="E286" s="15" t="n">
        <x:v>0.011828703703703704</x:v>
      </x:c>
      <x:c r="F286" s="16" t="str">
        <x:v>14580155</x:v>
      </x:c>
      <x:c r="G286" s="13" t="n">
        <x:v>17</x:v>
      </x:c>
      <x:c r="H286" s="15" t="n">
        <x:v>0.011909722222222223</x:v>
      </x:c>
      <x:c r="I286" s="17" t="n">
        <x:f>ROUND((H286-E286)*86400,0)</x:f>
        <x:v>7</x:v>
      </x:c>
      <x:c r="J286" s="16" t="str">
        <x:v>14590345</x:v>
      </x:c>
      <x:c r="K286" s="13" t="str">
        <x:v>[Tonga?], did you leave to the alarm already?</x:v>
      </x:c>
      <x:c r="L286" s="13" t="str">
        <x:v>Yeah, I'm just [pulling up?].</x:v>
      </x:c>
      <x:c r="M286" s="13" t="str">
        <x:v>Transcript association</x:v>
      </x:c>
      <x:c r="N286" s="13" t="str"/>
      <x:c r="O286" s="18" t="str">
        <x:v>Not reviewed</x:v>
      </x:c>
      <x:c r="P286" s="19" t="str">
        <x:v>https://afpd-accountability.com/records/openmhz/openmhz-afpd-car-to-car-2026-10-11/dcfems-6001-1791699422.m4a</x:v>
      </x:c>
      <x:c r="Q286" s="19" t="str">
        <x:v>https://afpd-accountability.com/records/openmhz/openmhz-afpd-car-to-car-2026-10-11/dcfems-6001-1791699429.m4a</x:v>
      </x:c>
      <x:c r="R286" s="19" t="str">
        <x:v>https://afpd-accountability.com/police-radio/?date=2026-10-11</x:v>
      </x:c>
      <x:c r="S286" s="13" t="n">
        <x:v>7</x:v>
      </x:c>
    </x:row>
    <x:row r="287" ht="60" customHeight="1">
      <x:c r="A287" s="13" t="str">
        <x:v>E280</x:v>
      </x:c>
      <x:c r="B287" s="13" t="str">
        <x:v>Tonga</x:v>
      </x:c>
      <x:c r="C287" s="14" t="n">
        <x:v>46306</x:v>
      </x:c>
      <x:c r="D287" s="13" t="n">
        <x:v>30</x:v>
      </x:c>
      <x:c r="E287" s="15" t="n">
        <x:v>0.028854166666666667</x:v>
      </x:c>
      <x:c r="F287" s="16" t="str">
        <x:v>14590091</x:v>
      </x:c>
      <x:c r="G287" s="13" t="n">
        <x:v>31</x:v>
      </x:c>
      <x:c r="H287" s="15" t="n">
        <x:v>0.028900462962962965</x:v>
      </x:c>
      <x:c r="I287" s="17" t="n">
        <x:f>ROUND((H287-E287)*86400,0)</x:f>
        <x:v>4</x:v>
      </x:c>
      <x:c r="J287" s="16" t="str">
        <x:v>14590345</x:v>
      </x:c>
      <x:c r="K287" s="13" t="str">
        <x:v>Thank you, [Tonga?].</x:v>
      </x:c>
      <x:c r="L287" s="13" t="str">
        <x:v>I got you.</x:v>
      </x:c>
      <x:c r="M287" s="13" t="str">
        <x:v>Transcript association</x:v>
      </x:c>
      <x:c r="N287" s="13" t="str"/>
      <x:c r="O287" s="18" t="str">
        <x:v>Not reviewed</x:v>
      </x:c>
      <x:c r="P287" s="19" t="str">
        <x:v>https://afpd-accountability.com/records/openmhz/openmhz-afpd-car-to-car-2026-10-11/dcfems-6001-1791700893.m4a</x:v>
      </x:c>
      <x:c r="Q287" s="19" t="str">
        <x:v>https://afpd-accountability.com/records/openmhz/openmhz-afpd-car-to-car-2026-10-11/dcfems-6001-1791700897.m4a</x:v>
      </x:c>
      <x:c r="R287" s="19" t="str">
        <x:v>https://afpd-accountability.com/police-radio/?date=2026-10-11</x:v>
      </x:c>
      <x:c r="S287" s="13" t="n">
        <x:v>4</x:v>
      </x:c>
    </x:row>
    <x:row r="288" ht="60" customHeight="1">
      <x:c r="A288" s="13" t="str">
        <x:v>E281</x:v>
      </x:c>
      <x:c r="B288" s="13" t="str">
        <x:v>Cox</x:v>
      </x:c>
      <x:c r="C288" s="14" t="n">
        <x:v>46306</x:v>
      </x:c>
      <x:c r="D288" s="13" t="n">
        <x:v>70</x:v>
      </x:c>
      <x:c r="E288" s="15" t="n">
        <x:v>0.20440972222222223</x:v>
      </x:c>
      <x:c r="F288" s="16" t="str">
        <x:v>14590313</x:v>
      </x:c>
      <x:c r="G288" s="13" t="n">
        <x:v>71</x:v>
      </x:c>
      <x:c r="H288" s="15" t="n">
        <x:v>0.2044675925925926</x:v>
      </x:c>
      <x:c r="I288" s="17" t="n">
        <x:f>ROUND((H288-E288)*86400,0)</x:f>
        <x:v>5</x:v>
      </x:c>
      <x:c r="J288" s="16" t="str">
        <x:v>14590020</x:v>
      </x:c>
      <x:c r="K288" s="13" t="str">
        <x:v>Hey, [Cox?]</x:v>
      </x:c>
      <x:c r="L288" s="13" t="str">
        <x:v>[You're good?] Finish up your phone call.</x:v>
      </x:c>
      <x:c r="M288" s="13" t="str">
        <x:v>Transcript association</x:v>
      </x:c>
      <x:c r="N288" s="13" t="str"/>
      <x:c r="O288" s="18" t="str">
        <x:v>Not reviewed</x:v>
      </x:c>
      <x:c r="P288" s="19" t="str">
        <x:v>https://afpd-accountability.com/records/openmhz/openmhz-afpd-car-to-car-2026-10-11/dcfems-6001-1791716061.m4a</x:v>
      </x:c>
      <x:c r="Q288" s="19" t="str">
        <x:v>https://afpd-accountability.com/records/openmhz/openmhz-afpd-car-to-car-2026-10-11/dcfems-6001-1791716066.m4a</x:v>
      </x:c>
      <x:c r="R288" s="19" t="str">
        <x:v>https://afpd-accountability.com/police-radio/?date=2026-10-11</x:v>
      </x:c>
      <x:c r="S288" s="13" t="n">
        <x:v>5</x:v>
      </x:c>
    </x:row>
    <x:row r="289" ht="60" customHeight="1">
      <x:c r="A289" s="13" t="str">
        <x:v>E282</x:v>
      </x:c>
      <x:c r="B289" s="13" t="str">
        <x:v>Cox</x:v>
      </x:c>
      <x:c r="C289" s="14" t="n">
        <x:v>46306</x:v>
      </x:c>
      <x:c r="D289" s="13" t="n">
        <x:v>72</x:v>
      </x:c>
      <x:c r="E289" s="15" t="n">
        <x:v>0.2045486111111111</x:v>
      </x:c>
      <x:c r="F289" s="16" t="str">
        <x:v>14590313</x:v>
      </x:c>
      <x:c r="G289" s="13" t="n">
        <x:v>73</x:v>
      </x:c>
      <x:c r="H289" s="15" t="n">
        <x:v>0.20462962962962963</x:v>
      </x:c>
      <x:c r="I289" s="17" t="n">
        <x:f>ROUND((H289-E289)*86400,0)</x:f>
        <x:v>7</x:v>
      </x:c>
      <x:c r="J289" s="16" t="str">
        <x:v>14590020</x:v>
      </x:c>
      <x:c r="K289" s="13" t="str">
        <x:v>Hey, [Cox?], that vehicle's still there, but the lights are off now.</x:v>
      </x:c>
      <x:c r="L289" s="13" t="str">
        <x:v>I copy.</x:v>
      </x:c>
      <x:c r="M289" s="13" t="str">
        <x:v>Transcript association</x:v>
      </x:c>
      <x:c r="N289" s="13" t="str"/>
      <x:c r="O289" s="18" t="str">
        <x:v>Not reviewed</x:v>
      </x:c>
      <x:c r="P289" s="19" t="str">
        <x:v>https://afpd-accountability.com/records/openmhz/openmhz-afpd-car-to-car-2026-10-11/dcfems-6001-1791716073.m4a</x:v>
      </x:c>
      <x:c r="Q289" s="19" t="str">
        <x:v>https://afpd-accountability.com/records/openmhz/openmhz-afpd-car-to-car-2026-10-11/dcfems-6001-1791716080.m4a</x:v>
      </x:c>
      <x:c r="R289" s="19" t="str">
        <x:v>https://afpd-accountability.com/police-radio/?date=2026-10-11</x:v>
      </x:c>
      <x:c r="S289" s="13" t="n">
        <x:v>7</x:v>
      </x:c>
    </x:row>
    <x:row r="290" ht="60" customHeight="1">
      <x:c r="A290" s="13" t="str">
        <x:v>E283</x:v>
      </x:c>
      <x:c r="B290" s="13" t="str">
        <x:v>Cox</x:v>
      </x:c>
      <x:c r="C290" s="14" t="n">
        <x:v>46306</x:v>
      </x:c>
      <x:c r="D290" s="13" t="n">
        <x:v>74</x:v>
      </x:c>
      <x:c r="E290" s="15" t="n">
        <x:v>0.20581018518518518</x:v>
      </x:c>
      <x:c r="F290" s="16" t="str">
        <x:v>14590313</x:v>
      </x:c>
      <x:c r="G290" s="13" t="n">
        <x:v>75</x:v>
      </x:c>
      <x:c r="H290" s="15" t="n">
        <x:v>0.20592592592592593</x:v>
      </x:c>
      <x:c r="I290" s="17" t="n">
        <x:f>ROUND((H290-E290)*86400,0)</x:f>
        <x:v>10</x:v>
      </x:c>
      <x:c r="J290" s="16" t="str">
        <x:v>14580155</x:v>
      </x:c>
      <x:c r="K290" s="13" t="str">
        <x:v>Sorry, [Cox?], that was a call earlier with a [threatened / fraught?] situation.</x:v>
      </x:c>
      <x:c r="L290" s="13" t="str">
        <x:v>[No / oh?], you're good, man. I'm just gonna see if they're still in the car.</x:v>
      </x:c>
      <x:c r="M290" s="13" t="str">
        <x:v>Transcript association</x:v>
      </x:c>
      <x:c r="N290" s="13" t="str"/>
      <x:c r="O290" s="18" t="str">
        <x:v>Not reviewed</x:v>
      </x:c>
      <x:c r="P290" s="19" t="str">
        <x:v>https://afpd-accountability.com/records/openmhz/openmhz-afpd-car-to-car-2026-10-11/dcfems-6001-1791716182.m4a</x:v>
      </x:c>
      <x:c r="Q290" s="19" t="str">
        <x:v>https://afpd-accountability.com/records/openmhz/openmhz-afpd-car-to-car-2026-10-11/dcfems-6001-1791716192.m4a</x:v>
      </x:c>
      <x:c r="R290" s="19" t="str">
        <x:v>https://afpd-accountability.com/police-radio/?date=2026-10-11</x:v>
      </x:c>
      <x:c r="S290" s="13" t="n">
        <x:v>10</x:v>
      </x:c>
    </x:row>
    <x:row r="291" ht="60" customHeight="1">
      <x:c r="A291" s="13" t="str">
        <x:v>E284</x:v>
      </x:c>
      <x:c r="B291" s="13" t="str">
        <x:v>Renter</x:v>
      </x:c>
      <x:c r="C291" s="14" t="n">
        <x:v>46306</x:v>
      </x:c>
      <x:c r="D291" s="13" t="n">
        <x:v>82</x:v>
      </x:c>
      <x:c r="E291" s="15" t="n">
        <x:v>0.3479513888888889</x:v>
      </x:c>
      <x:c r="F291" s="16" t="str">
        <x:v>14590247</x:v>
      </x:c>
      <x:c r="G291" s="13" t="n">
        <x:v>83</x:v>
      </x:c>
      <x:c r="H291" s="15" t="n">
        <x:v>0.34806712962962966</x:v>
      </x:c>
      <x:c r="I291" s="17" t="n">
        <x:f>ROUND((H291-E291)*86400,0)</x:f>
        <x:v>10</x:v>
      </x:c>
      <x:c r="J291" s="16" t="str">
        <x:v>14590219</x:v>
      </x:c>
      <x:c r="K291" s="13" t="str">
        <x:v>Hey, [Renscher / Rancher?], have you made any contact yet?</x:v>
      </x:c>
      <x:c r="L291" s="13" t="str">
        <x:v>Neighbors are saying she's on vacation. [Step by?]</x:v>
      </x:c>
      <x:c r="M291" s="13" t="str">
        <x:v>Transcript association</x:v>
      </x:c>
      <x:c r="N291" s="13" t="str"/>
      <x:c r="O291" s="18" t="str">
        <x:v>Not reviewed</x:v>
      </x:c>
      <x:c r="P291" s="19" t="str">
        <x:v>https://afpd-accountability.com/records/openmhz/openmhz-afpd-car-to-car-2026-10-11/dcfems-6001-1791728463.m4a</x:v>
      </x:c>
      <x:c r="Q291" s="19" t="str">
        <x:v>https://afpd-accountability.com/records/openmhz/openmhz-afpd-car-to-car-2026-10-11/dcfems-6001-1791728473.m4a</x:v>
      </x:c>
      <x:c r="R291" s="19" t="str">
        <x:v>https://afpd-accountability.com/police-radio/?date=2026-10-11</x:v>
      </x:c>
      <x:c r="S291" s="13" t="n">
        <x:v>10</x:v>
      </x:c>
    </x:row>
    <x:row r="292" ht="60" customHeight="1">
      <x:c r="A292" s="13" t="str">
        <x:v>E285</x:v>
      </x:c>
      <x:c r="B292" s="13" t="str">
        <x:v>Renter</x:v>
      </x:c>
      <x:c r="C292" s="14" t="n">
        <x:v>46306</x:v>
      </x:c>
      <x:c r="D292" s="13" t="n">
        <x:v>86</x:v>
      </x:c>
      <x:c r="E292" s="15" t="n">
        <x:v>0.34880787037037037</x:v>
      </x:c>
      <x:c r="F292" s="16" t="str">
        <x:v>14590089</x:v>
      </x:c>
      <x:c r="G292" s="13" t="n">
        <x:v>87</x:v>
      </x:c>
      <x:c r="H292" s="15" t="n">
        <x:v>0.3488773148148148</x:v>
      </x:c>
      <x:c r="I292" s="17" t="n">
        <x:f>ROUND((H292-E292)*86400,0)</x:f>
        <x:v>6</x:v>
      </x:c>
      <x:c r="J292" s="16" t="str">
        <x:v>14590219</x:v>
      </x:c>
      <x:c r="K292" s="13" t="str">
        <x:v>[Rancher?], do the neighbors have a contact phone number for that person?</x:v>
      </x:c>
      <x:c r="L292" s="13" t="str">
        <x:v>I'll grab it. She's texting [them / him?] right now, actually, so I'll make sure that [unclear ending].</x:v>
      </x:c>
      <x:c r="M292" s="13" t="str">
        <x:v>Transcript association</x:v>
      </x:c>
      <x:c r="N292" s="13" t="str"/>
      <x:c r="O292" s="18" t="str">
        <x:v>Not reviewed</x:v>
      </x:c>
      <x:c r="P292" s="19" t="str">
        <x:v>https://afpd-accountability.com/records/openmhz/openmhz-afpd-car-to-car-2026-10-11/dcfems-6001-1791728537.m4a</x:v>
      </x:c>
      <x:c r="Q292" s="19" t="str">
        <x:v>https://afpd-accountability.com/records/openmhz/openmhz-afpd-car-to-car-2026-10-11/dcfems-6001-1791728543.m4a</x:v>
      </x:c>
      <x:c r="R292" s="19" t="str">
        <x:v>https://afpd-accountability.com/police-radio/?date=2026-10-11</x:v>
      </x:c>
      <x:c r="S292" s="13" t="n">
        <x:v>6</x:v>
      </x:c>
    </x:row>
    <x:row r="293" ht="60" customHeight="1">
      <x:c r="A293" s="13" t="str">
        <x:v>E286</x:v>
      </x:c>
      <x:c r="B293" s="13" t="str">
        <x:v>Jake</x:v>
      </x:c>
      <x:c r="C293" s="14" t="n">
        <x:v>46306</x:v>
      </x:c>
      <x:c r="D293" s="13" t="n">
        <x:v>100</x:v>
      </x:c>
      <x:c r="E293" s="15" t="n">
        <x:v>0.46221064814814816</x:v>
      </x:c>
      <x:c r="F293" s="16" t="str">
        <x:v>14590084</x:v>
      </x:c>
      <x:c r="G293" s="13" t="n">
        <x:v>101</x:v>
      </x:c>
      <x:c r="H293" s="15" t="n">
        <x:v>0.46229166666666666</x:v>
      </x:c>
      <x:c r="I293" s="17" t="n">
        <x:f>ROUND((H293-E293)*86400,0)</x:f>
        <x:v>7</x:v>
      </x:c>
      <x:c r="J293" s="16" t="str">
        <x:v>14590118</x:v>
      </x:c>
      <x:c r="K293" s="13" t="str">
        <x:v>Hey, [Jake?], I'm not sure where that Chevy went.</x:v>
      </x:c>
      <x:c r="L293" s="13" t="str">
        <x:v>Yeah, it's all good. I think he went toward [Rotary?].</x:v>
      </x:c>
      <x:c r="M293" s="13" t="str">
        <x:v>Transcript association</x:v>
      </x:c>
      <x:c r="N293" s="13" t="str">
        <x:v>More than one officer on the roster uses Jake or Jacob. These rows preserve the spoken first name only.</x:v>
      </x:c>
      <x:c r="O293" s="18" t="str">
        <x:v>Not reviewed</x:v>
      </x:c>
      <x:c r="P293" s="19" t="str">
        <x:v>https://afpd-accountability.com/records/openmhz/openmhz-afpd-car-to-car-2026-10-11/dcfems-6001-1791738335.m4a</x:v>
      </x:c>
      <x:c r="Q293" s="19" t="str">
        <x:v>https://afpd-accountability.com/records/openmhz/openmhz-afpd-car-to-car-2026-10-11/dcfems-6001-1791738342.m4a</x:v>
      </x:c>
      <x:c r="R293" s="19" t="str">
        <x:v>https://afpd-accountability.com/police-radio/?date=2026-10-11</x:v>
      </x:c>
      <x:c r="S293" s="13" t="n">
        <x:v>7</x:v>
      </x:c>
    </x:row>
    <x:row r="294" ht="60" customHeight="1">
      <x:c r="A294" s="13" t="str">
        <x:v>E287</x:v>
      </x:c>
      <x:c r="B294" s="13" t="str">
        <x:v>Jake</x:v>
      </x:c>
      <x:c r="C294" s="14" t="n">
        <x:v>46306</x:v>
      </x:c>
      <x:c r="D294" s="13" t="n">
        <x:v>105</x:v>
      </x:c>
      <x:c r="E294" s="15" t="n">
        <x:v>0.4786226851851852</x:v>
      </x:c>
      <x:c r="F294" s="16" t="str">
        <x:v>14590087</x:v>
      </x:c>
      <x:c r="G294" s="13" t="n">
        <x:v>106</x:v>
      </x:c>
      <x:c r="H294" s="15" t="n">
        <x:v>0.47880787037037037</x:v>
      </x:c>
      <x:c r="I294" s="17" t="n">
        <x:f>ROUND((H294-E294)*86400,0)</x:f>
        <x:v>16</x:v>
      </x:c>
      <x:c r="J294" s="16" t="str">
        <x:v>14590025</x:v>
      </x:c>
      <x:c r="K294" s="13" t="str">
        <x:v>Hey, [Jake?], do you have [PC for?] [Terry Thrasher?]</x:v>
      </x:c>
      <x:c r="L294" s="13" t="str">
        <x:v>I believe that the charges were just forwarded, but there was a PC attached to that case at one point. It's been a few weeks.</x:v>
      </x:c>
      <x:c r="M294" s="13" t="str">
        <x:v>Transcript association</x:v>
      </x:c>
      <x:c r="N294" s="13" t="str">
        <x:v>More than one officer on the roster uses Jake or Jacob. These rows preserve the spoken first name only.</x:v>
      </x:c>
      <x:c r="O294" s="18" t="str">
        <x:v>Not reviewed</x:v>
      </x:c>
      <x:c r="P294" s="19" t="str">
        <x:v>https://afpd-accountability.com/records/openmhz/openmhz-afpd-car-to-car-2026-10-11/dcfems-6001-1791739753.m4a</x:v>
      </x:c>
      <x:c r="Q294" s="19" t="str">
        <x:v>https://afpd-accountability.com/records/openmhz/openmhz-afpd-car-to-car-2026-10-11/dcfems-6001-1791739769.m4a</x:v>
      </x:c>
      <x:c r="R294" s="19" t="str">
        <x:v>https://afpd-accountability.com/police-radio/?date=2026-10-11</x:v>
      </x:c>
      <x:c r="S294" s="13" t="n">
        <x:v>16</x:v>
      </x:c>
    </x:row>
    <x:row r="295" ht="60" customHeight="1">
      <x:c r="A295" s="13" t="str">
        <x:v>E288</x:v>
      </x:c>
      <x:c r="B295" s="13" t="str">
        <x:v>Diego / Garcia</x:v>
      </x:c>
      <x:c r="C295" s="14" t="n">
        <x:v>46306</x:v>
      </x:c>
      <x:c r="D295" s="13" t="n">
        <x:v>107</x:v>
      </x:c>
      <x:c r="E295" s="15" t="n">
        <x:v>0.4798611111111111</x:v>
      </x:c>
      <x:c r="F295" s="16" t="str">
        <x:v>14590219</x:v>
      </x:c>
      <x:c r="G295" s="13" t="n">
        <x:v>108</x:v>
      </x:c>
      <x:c r="H295" s="15" t="n">
        <x:v>0.47997685185185185</x:v>
      </x:c>
      <x:c r="I295" s="17" t="n">
        <x:f>ROUND((H295-E295)*86400,0)</x:f>
        <x:v>10</x:v>
      </x:c>
      <x:c r="J295" s="16" t="str">
        <x:v>14590111</x:v>
      </x:c>
      <x:c r="K295" s="13" t="str">
        <x:v>Hey, [Diego?], we're all gonna eat if you're ready.</x:v>
      </x:c>
      <x:c r="L295" s="13" t="str">
        <x:v>I'll come join you. I'm not that hungry though.</x:v>
      </x:c>
      <x:c r="M295" s="13" t="str">
        <x:v>Transcript association</x:v>
      </x:c>
      <x:c r="N295" s="13" t="str"/>
      <x:c r="O295" s="18" t="str">
        <x:v>Not reviewed</x:v>
      </x:c>
      <x:c r="P295" s="19" t="str">
        <x:v>https://afpd-accountability.com/records/openmhz/openmhz-afpd-car-to-car-2026-10-11/dcfems-6001-1791739860.m4a</x:v>
      </x:c>
      <x:c r="Q295" s="19" t="str">
        <x:v>https://afpd-accountability.com/records/openmhz/openmhz-afpd-car-to-car-2026-10-11/dcfems-6001-1791739870.m4a</x:v>
      </x:c>
      <x:c r="R295" s="19" t="str">
        <x:v>https://afpd-accountability.com/police-radio/?date=2026-10-11</x:v>
      </x:c>
      <x:c r="S295" s="13" t="n">
        <x:v>10</x:v>
      </x:c>
    </x:row>
    <x:row r="296" ht="60" customHeight="1">
      <x:c r="A296" s="13" t="str">
        <x:v>E289</x:v>
      </x:c>
      <x:c r="B296" s="13" t="str">
        <x:v>Mason</x:v>
      </x:c>
      <x:c r="C296" s="14" t="n">
        <x:v>46306</x:v>
      </x:c>
      <x:c r="D296" s="13" t="n">
        <x:v>111</x:v>
      </x:c>
      <x:c r="E296" s="15" t="n">
        <x:v>0.5186342592592592</x:v>
      </x:c>
      <x:c r="F296" s="16" t="str">
        <x:v>14590087</x:v>
      </x:c>
      <x:c r="G296" s="13" t="n">
        <x:v>112</x:v>
      </x:c>
      <x:c r="H296" s="15" t="n">
        <x:v>0.5188773148148148</x:v>
      </x:c>
      <x:c r="I296" s="17" t="n">
        <x:f>ROUND((H296-E296)*86400,0)</x:f>
        <x:v>21</x:v>
      </x:c>
      <x:c r="J296" s="16" t="str">
        <x:v>14590315</x:v>
      </x:c>
      <x:c r="K296" s="13" t="str">
        <x:v>Hey, [Mason?], I'm code four, but this guy doesn't speak English very good. During the traffic stop, a car with like five people pulled up behind me, and they all started getting out, so I guess they're his family. I just want another officer here to watch.</x:v>
      </x:c>
      <x:c r="L296" s="13" t="str">
        <x:v>Copy. I'm on my way.</x:v>
      </x:c>
      <x:c r="M296" s="13" t="str">
        <x:v>Transcript association</x:v>
      </x:c>
      <x:c r="N296" s="13" t="str"/>
      <x:c r="O296" s="18" t="str">
        <x:v>Not reviewed</x:v>
      </x:c>
      <x:c r="P296" s="19" t="str">
        <x:v>https://afpd-accountability.com/records/openmhz/openmhz-afpd-car-to-car-2026-10-11/dcfems-6001-1791743210.m4a</x:v>
      </x:c>
      <x:c r="Q296" s="19" t="str">
        <x:v>https://afpd-accountability.com/records/openmhz/openmhz-afpd-car-to-car-2026-10-11/dcfems-6001-1791743231.m4a</x:v>
      </x:c>
      <x:c r="R296" s="19" t="str">
        <x:v>https://afpd-accountability.com/police-radio/?date=2026-10-11</x:v>
      </x:c>
      <x:c r="S296" s="13" t="n">
        <x:v>21</x:v>
      </x:c>
    </x:row>
    <x:row r="297" ht="60" customHeight="1">
      <x:c r="A297" s="13" t="str">
        <x:v>E290</x:v>
      </x:c>
      <x:c r="B297" s="13" t="str">
        <x:v>Renter</x:v>
      </x:c>
      <x:c r="C297" s="14" t="n">
        <x:v>46306</x:v>
      </x:c>
      <x:c r="D297" s="13" t="n">
        <x:v>118</x:v>
      </x:c>
      <x:c r="E297" s="15" t="n">
        <x:v>0.5269907407407407</x:v>
      </x:c>
      <x:c r="F297" s="16" t="str">
        <x:v>14590111</x:v>
      </x:c>
      <x:c r="G297" s="13" t="n">
        <x:v>119</x:v>
      </x:c>
      <x:c r="H297" s="15" t="n">
        <x:v>0.5270254629629629</x:v>
      </x:c>
      <x:c r="I297" s="17" t="n">
        <x:f>ROUND((H297-E297)*86400,0)</x:f>
        <x:v>3</x:v>
      </x:c>
      <x:c r="J297" s="16" t="str">
        <x:v>14590087</x:v>
      </x:c>
      <x:c r="K297" s="13" t="str">
        <x:v>[Renter / Ranger?]</x:v>
      </x:c>
      <x:c r="L297" s="13" t="str">
        <x:v>Good.</x:v>
      </x:c>
      <x:c r="M297" s="13" t="str">
        <x:v>Transcript association</x:v>
      </x:c>
      <x:c r="N297" s="13" t="str"/>
      <x:c r="O297" s="18" t="str">
        <x:v>Not reviewed</x:v>
      </x:c>
      <x:c r="P297" s="19" t="str">
        <x:v>https://afpd-accountability.com/records/openmhz/openmhz-afpd-car-to-car-2026-10-11/dcfems-6001-1791743932.m4a</x:v>
      </x:c>
      <x:c r="Q297" s="19" t="str">
        <x:v>https://afpd-accountability.com/records/openmhz/openmhz-afpd-car-to-car-2026-10-11/dcfems-6001-1791743935.m4a</x:v>
      </x:c>
      <x:c r="R297" s="19" t="str">
        <x:v>https://afpd-accountability.com/police-radio/?date=2026-10-11</x:v>
      </x:c>
      <x:c r="S297" s="13" t="n">
        <x:v>3</x:v>
      </x:c>
    </x:row>
    <x:row r="298" ht="60" customHeight="1">
      <x:c r="A298" s="13" t="str">
        <x:v>E291</x:v>
      </x:c>
      <x:c r="B298" s="13" t="str">
        <x:v>Mason</x:v>
      </x:c>
      <x:c r="C298" s="14" t="n">
        <x:v>46306</x:v>
      </x:c>
      <x:c r="D298" s="13" t="n">
        <x:v>135</x:v>
      </x:c>
      <x:c r="E298" s="15" t="n">
        <x:v>0.5613541666666667</x:v>
      </x:c>
      <x:c r="F298" s="16" t="str">
        <x:v>14590084</x:v>
      </x:c>
      <x:c r="G298" s="13" t="n">
        <x:v>136</x:v>
      </x:c>
      <x:c r="H298" s="15" t="n">
        <x:v>0.5614467592592592</x:v>
      </x:c>
      <x:c r="I298" s="17" t="n">
        <x:f>ROUND((H298-E298)*86400,0)</x:f>
        <x:v>8</x:v>
      </x:c>
      <x:c r="J298" s="16" t="str">
        <x:v>14590237</x:v>
      </x:c>
      <x:c r="K298" s="13" t="str">
        <x:v>[Mason?], are you still down there with that car?</x:v>
      </x:c>
      <x:c r="L298" s="13" t="str">
        <x:v>Yeah.</x:v>
      </x:c>
      <x:c r="M298" s="13" t="str">
        <x:v>Transcript association</x:v>
      </x:c>
      <x:c r="N298" s="13" t="str"/>
      <x:c r="O298" s="18" t="str">
        <x:v>Not reviewed</x:v>
      </x:c>
      <x:c r="P298" s="19" t="str">
        <x:v>https://afpd-accountability.com/records/openmhz/openmhz-afpd-car-to-car-2026-10-11/dcfems-6001-1791746901.m4a</x:v>
      </x:c>
      <x:c r="Q298" s="19" t="str">
        <x:v>https://afpd-accountability.com/records/openmhz/openmhz-afpd-car-to-car-2026-10-11/dcfems-6001-1791746909.m4a</x:v>
      </x:c>
      <x:c r="R298" s="19" t="str">
        <x:v>https://afpd-accountability.com/police-radio/?date=2026-10-11</x:v>
      </x:c>
      <x:c r="S298" s="13" t="n">
        <x:v>8</x:v>
      </x:c>
    </x:row>
    <x:row r="299" ht="60" customHeight="1">
      <x:c r="A299" s="13" t="str">
        <x:v>E292</x:v>
      </x:c>
      <x:c r="B299" s="13" t="str">
        <x:v>Diego / Garcia</x:v>
      </x:c>
      <x:c r="C299" s="14" t="n">
        <x:v>46306</x:v>
      </x:c>
      <x:c r="D299" s="13" t="n">
        <x:v>231</x:v>
      </x:c>
      <x:c r="E299" s="15" t="n">
        <x:v>0.7329282407407407</x:v>
      </x:c>
      <x:c r="F299" s="16" t="str">
        <x:v>14590107</x:v>
      </x:c>
      <x:c r="G299" s="13" t="n">
        <x:v>232</x:v>
      </x:c>
      <x:c r="H299" s="15" t="n">
        <x:v>0.7329745370370371</x:v>
      </x:c>
      <x:c r="I299" s="17" t="n">
        <x:f>ROUND((H299-E299)*86400,0)</x:f>
        <x:v>4</x:v>
      </x:c>
      <x:c r="J299" s="16" t="str">
        <x:v>14590111</x:v>
      </x:c>
      <x:c r="K299" s="13" t="str">
        <x:v>Close to what, [Diego?]?</x:v>
      </x:c>
      <x:c r="L299" s="13" t="str">
        <x:v>[Close to Richardson?] I'm all the way [on the State of / at State and?] North County.</x:v>
      </x:c>
      <x:c r="M299" s="13" t="str">
        <x:v>Transcript association</x:v>
      </x:c>
      <x:c r="N299" s="13" t="str"/>
      <x:c r="O299" s="18" t="str">
        <x:v>Not reviewed</x:v>
      </x:c>
      <x:c r="P299" s="19" t="str">
        <x:v>https://afpd-accountability.com/records/openmhz/openmhz-afpd-car-to-car-2026-10-11/dcfems-6001-1791761725.m4a</x:v>
      </x:c>
      <x:c r="Q299" s="19" t="str">
        <x:v>https://afpd-accountability.com/records/openmhz/openmhz-afpd-car-to-car-2026-10-11/dcfems-6001-1791761729.m4a</x:v>
      </x:c>
      <x:c r="R299" s="19" t="str">
        <x:v>https://afpd-accountability.com/police-radio/?date=2026-10-11</x:v>
      </x:c>
      <x:c r="S299" s="13" t="n">
        <x:v>4</x:v>
      </x:c>
    </x:row>
    <x:row r="300" ht="60" customHeight="1">
      <x:c r="A300" s="13" t="str">
        <x:v>E293</x:v>
      </x:c>
      <x:c r="B300" s="13" t="str">
        <x:v>Diego / Garcia</x:v>
      </x:c>
      <x:c r="C300" s="14" t="n">
        <x:v>46306</x:v>
      </x:c>
      <x:c r="D300" s="13" t="n">
        <x:v>250</x:v>
      </x:c>
      <x:c r="E300" s="15" t="n">
        <x:v>0.7390972222222222</x:v>
      </x:c>
      <x:c r="F300" s="16" t="str">
        <x:v>14590036</x:v>
      </x:c>
      <x:c r="G300" s="13" t="n">
        <x:v>251</x:v>
      </x:c>
      <x:c r="H300" s="15" t="n">
        <x:v>0.7391435185185186</x:v>
      </x:c>
      <x:c r="I300" s="17" t="n">
        <x:f>ROUND((H300-E300)*86400,0)</x:f>
        <x:v>4</x:v>
      </x:c>
      <x:c r="J300" s="16" t="str">
        <x:v>14590111</x:v>
      </x:c>
      <x:c r="K300" s="13" t="str">
        <x:v>Sorry, [Diego?], [that for us / that's rough / that was out for us].</x:v>
      </x:c>
      <x:c r="L300" s="13" t="str">
        <x:v>Yes, I'm just trying to confirm the west. Is it [1020?] or [1080?]?</x:v>
      </x:c>
      <x:c r="M300" s="13" t="str">
        <x:v>Transcript association</x:v>
      </x:c>
      <x:c r="N300" s="13" t="str"/>
      <x:c r="O300" s="18" t="str">
        <x:v>Not reviewed</x:v>
      </x:c>
      <x:c r="P300" s="19" t="str">
        <x:v>https://afpd-accountability.com/records/openmhz/openmhz-afpd-car-to-car-2026-10-11/dcfems-6001-1791762258.m4a</x:v>
      </x:c>
      <x:c r="Q300" s="19" t="str">
        <x:v>https://afpd-accountability.com/records/openmhz/openmhz-afpd-car-to-car-2026-10-11/dcfems-6001-1791762262.m4a</x:v>
      </x:c>
      <x:c r="R300" s="19" t="str">
        <x:v>https://afpd-accountability.com/police-radio/?date=2026-10-11</x:v>
      </x:c>
      <x:c r="S300" s="13" t="n">
        <x:v>4</x:v>
      </x:c>
    </x:row>
    <x:row r="301" ht="60" customHeight="1">
      <x:c r="A301" s="13" t="str">
        <x:v>E294</x:v>
      </x:c>
      <x:c r="B301" s="13" t="str">
        <x:v>Diego / Garcia</x:v>
      </x:c>
      <x:c r="C301" s="14" t="n">
        <x:v>46306</x:v>
      </x:c>
      <x:c r="D301" s="13" t="n">
        <x:v>255</x:v>
      </x:c>
      <x:c r="E301" s="15" t="n">
        <x:v>0.7432638888888888</x:v>
      </x:c>
      <x:c r="F301" s="16" t="str">
        <x:v>14590207</x:v>
      </x:c>
      <x:c r="G301" s="13" t="n">
        <x:v>256</x:v>
      </x:c>
      <x:c r="H301" s="15" t="n">
        <x:v>0.7433449074074074</x:v>
      </x:c>
      <x:c r="I301" s="17" t="n">
        <x:f>ROUND((H301-E301)*86400,0)</x:f>
        <x:v>7</x:v>
      </x:c>
      <x:c r="J301" s="16" t="str">
        <x:v>14590089</x:v>
      </x:c>
      <x:c r="K301" s="13" t="str">
        <x:v>[Diego?], you're available [in / at] [21?].</x:v>
      </x:c>
      <x:c r="L301" s="13" t="str">
        <x:v>Sorry, yeah, I left my phone on my car. I'll call you back right now.</x:v>
      </x:c>
      <x:c r="M301" s="13" t="str">
        <x:v>Transcript association</x:v>
      </x:c>
      <x:c r="N301" s="13" t="str"/>
      <x:c r="O301" s="18" t="str">
        <x:v>Not reviewed</x:v>
      </x:c>
      <x:c r="P301" s="19" t="str">
        <x:v>https://afpd-accountability.com/records/openmhz/openmhz-afpd-car-to-car-2026-10-11/dcfems-6001-1791762618.m4a</x:v>
      </x:c>
      <x:c r="Q301" s="19" t="str">
        <x:v>https://afpd-accountability.com/records/openmhz/openmhz-afpd-car-to-car-2026-10-11/dcfems-6001-1791762625.m4a</x:v>
      </x:c>
      <x:c r="R301" s="19" t="str">
        <x:v>https://afpd-accountability.com/police-radio/?date=2026-10-11</x:v>
      </x:c>
      <x:c r="S301" s="13" t="n">
        <x:v>7</x:v>
      </x:c>
    </x:row>
    <x:row r="302" ht="60" customHeight="1">
      <x:c r="A302" s="13" t="str">
        <x:v>E295</x:v>
      </x:c>
      <x:c r="B302" s="13" t="str">
        <x:v>Cox</x:v>
      </x:c>
      <x:c r="C302" s="14" t="n">
        <x:v>46306</x:v>
      </x:c>
      <x:c r="D302" s="13" t="n">
        <x:v>298</x:v>
      </x:c>
      <x:c r="E302" s="15" t="n">
        <x:v>0.8388541666666667</x:v>
      </x:c>
      <x:c r="F302" s="16" t="str">
        <x:v>14590313</x:v>
      </x:c>
      <x:c r="G302" s="13" t="n">
        <x:v>299</x:v>
      </x:c>
      <x:c r="H302" s="15" t="n">
        <x:v>0.8388888888888889</x:v>
      </x:c>
      <x:c r="I302" s="17" t="n">
        <x:f>ROUND((H302-E302)*86400,0)</x:f>
        <x:v>3</x:v>
      </x:c>
      <x:c r="J302" s="16" t="str">
        <x:v>14590020</x:v>
      </x:c>
      <x:c r="K302" s="13" t="str">
        <x:v>[Cox?].</x:v>
      </x:c>
      <x:c r="L302" s="13" t="str">
        <x:v>Go ahead.</x:v>
      </x:c>
      <x:c r="M302" s="13" t="str">
        <x:v>Transcript association</x:v>
      </x:c>
      <x:c r="N302" s="13" t="str"/>
      <x:c r="O302" s="18" t="str">
        <x:v>Not reviewed</x:v>
      </x:c>
      <x:c r="P302" s="19" t="str">
        <x:v>https://afpd-accountability.com/records/openmhz/openmhz-afpd-car-to-car-2026-10-11/dcfems-6001-1791770877.m4a</x:v>
      </x:c>
      <x:c r="Q302" s="19" t="str">
        <x:v>https://afpd-accountability.com/records/openmhz/openmhz-afpd-car-to-car-2026-10-11/dcfems-6001-1791770880.m4a</x:v>
      </x:c>
      <x:c r="R302" s="19" t="str">
        <x:v>https://afpd-accountability.com/police-radio/?date=2026-10-11</x:v>
      </x:c>
      <x:c r="S302" s="13" t="n">
        <x:v>3</x:v>
      </x:c>
    </x:row>
    <x:row r="303" ht="60" customHeight="1">
      <x:c r="A303" s="13" t="str">
        <x:v>E296</x:v>
      </x:c>
      <x:c r="B303" s="13" t="str">
        <x:v>Richardson / Cole</x:v>
      </x:c>
      <x:c r="C303" s="14" t="n">
        <x:v>46307</x:v>
      </x:c>
      <x:c r="D303" s="13" t="n">
        <x:v>7</x:v>
      </x:c>
      <x:c r="E303" s="15" t="n">
        <x:v>0.046863425925925926</x:v>
      </x:c>
      <x:c r="F303" s="16" t="str">
        <x:v>14590020</x:v>
      </x:c>
      <x:c r="G303" s="13" t="n">
        <x:v>8</x:v>
      </x:c>
      <x:c r="H303" s="15" t="n">
        <x:v>0.046921296296296294</x:v>
      </x:c>
      <x:c r="I303" s="17" t="n">
        <x:f>ROUND((H303-E303)*86400,0)</x:f>
        <x:v>5</x:v>
      </x:c>
      <x:c r="J303" s="16" t="str">
        <x:v>14590123</x:v>
      </x:c>
      <x:c r="K303" s="13" t="str">
        <x:v>Did you just go through Art Dye, Cole?</x:v>
      </x:c>
      <x:c r="L303" s="13" t="str">
        <x:v>Yeah.</x:v>
      </x:c>
      <x:c r="M303" s="13" t="str">
        <x:v>Transcript association</x:v>
      </x:c>
      <x:c r="N303" s="13" t="str"/>
      <x:c r="O303" s="18" t="str">
        <x:v>Not reviewed</x:v>
      </x:c>
      <x:c r="P303" s="19" t="str">
        <x:v>https://afpd-accountability.com/records/openmhz/openmhz-afpd-car-to-car-2026-10-12/dcfems-6001-1791788849.m4a</x:v>
      </x:c>
      <x:c r="Q303" s="19" t="str">
        <x:v>https://afpd-accountability.com/records/openmhz/openmhz-afpd-car-to-car-2026-10-12/dcfems-6001-1791788854.m4a</x:v>
      </x:c>
      <x:c r="R303" s="19" t="str">
        <x:v>https://afpd-accountability.com/police-radio/?date=2026-10-12</x:v>
      </x:c>
      <x:c r="S303" s="13" t="n">
        <x:v>5</x:v>
      </x:c>
    </x:row>
    <x:row r="304" ht="60" customHeight="1">
      <x:c r="A304" s="13" t="str">
        <x:v>E297</x:v>
      </x:c>
      <x:c r="B304" s="13" t="str">
        <x:v>Jackie</x:v>
      </x:c>
      <x:c r="C304" s="14" t="n">
        <x:v>46307</x:v>
      </x:c>
      <x:c r="D304" s="13" t="n">
        <x:v>110</x:v>
      </x:c>
      <x:c r="E304" s="15" t="n">
        <x:v>0.782974537037037</x:v>
      </x:c>
      <x:c r="F304" s="16" t="str">
        <x:v>14590085</x:v>
      </x:c>
      <x:c r="G304" s="13" t="n">
        <x:v>111</x:v>
      </x:c>
      <x:c r="H304" s="15" t="n">
        <x:v>0.7830555555555555</x:v>
      </x:c>
      <x:c r="I304" s="17" t="n">
        <x:f>ROUND((H304-E304)*86400,0)</x:f>
        <x:v>7</x:v>
      </x:c>
      <x:c r="J304" s="16" t="str">
        <x:v>14590103</x:v>
      </x:c>
      <x:c r="K304" s="13" t="str">
        <x:v>[Jackie?], [on here / on you]?</x:v>
      </x:c>
      <x:c r="L304" s="13" t="str">
        <x:v>I'll [change / choose / reach] out the phone.</x:v>
      </x:c>
      <x:c r="M304" s="13" t="str">
        <x:v>Transcript association</x:v>
      </x:c>
      <x:c r="N304" s="13" t="str">
        <x:v>Mostly 14590104 and 14590200; 14590103 has only one uncertain exchange. No roster identity assigned from the nickname alone.</x:v>
      </x:c>
      <x:c r="O304" s="18" t="str">
        <x:v>Not reviewed</x:v>
      </x:c>
      <x:c r="P304" s="19" t="str">
        <x:v>https://afpd-accountability.com/records/openmhz/openmhz-afpd-car-to-car-2026-10-12/dcfems-6001-1791852449.m4a</x:v>
      </x:c>
      <x:c r="Q304" s="19" t="str">
        <x:v>https://afpd-accountability.com/records/openmhz/openmhz-afpd-car-to-car-2026-10-12/dcfems-6001-1791852456.m4a</x:v>
      </x:c>
      <x:c r="R304" s="19" t="str">
        <x:v>https://afpd-accountability.com/police-radio/?date=2026-10-12</x:v>
      </x:c>
      <x:c r="S304" s="13" t="n">
        <x:v>7</x:v>
      </x:c>
    </x:row>
    <x:row r="305" ht="60" customHeight="1">
      <x:c r="A305" s="13" t="str">
        <x:v>E298</x:v>
      </x:c>
      <x:c r="B305" s="13" t="str">
        <x:v>Sam</x:v>
      </x:c>
      <x:c r="C305" s="14" t="n">
        <x:v>46308</x:v>
      </x:c>
      <x:c r="D305" s="13" t="n">
        <x:v>8</x:v>
      </x:c>
      <x:c r="E305" s="15" t="n">
        <x:v>0.3905787037037037</x:v>
      </x:c>
      <x:c r="F305" s="16" t="str">
        <x:v>14590140</x:v>
      </x:c>
      <x:c r="G305" s="13" t="n">
        <x:v>9</x:v>
      </x:c>
      <x:c r="H305" s="15" t="n">
        <x:v>0.3907638888888889</x:v>
      </x:c>
      <x:c r="I305" s="17" t="n">
        <x:f>ROUND((H305-E305)*86400,0)</x:f>
        <x:v>16</x:v>
      </x:c>
      <x:c r="J305" s="16" t="str">
        <x:v>14590221</x:v>
      </x:c>
      <x:c r="K305" s="13" t="str">
        <x:v>Hey, [Sam?], do you need any help on that so you can get to the [training?] [unclear ending]?</x:v>
      </x:c>
      <x:c r="L305" s="13" t="str">
        <x:v>There's a lot of stuff. I just sorted it and then I'm packing the bags in my car now and then I'll head to the library and finish it after.</x:v>
      </x:c>
      <x:c r="M305" s="13" t="str">
        <x:v>Transcript association</x:v>
      </x:c>
      <x:c r="N305" s="13" t="str">
        <x:v>Several officers use Sam or Samuel. Do not combine these IDs into one officer identity.</x:v>
      </x:c>
      <x:c r="O305" s="18" t="str">
        <x:v>Not reviewed</x:v>
      </x:c>
      <x:c r="P305" s="19" t="str">
        <x:v>https://afpd-accountability.com/records/openmhz/openmhz-afpd-car-to-car-2026-10-13/dcfems-6001-1791904946.m4a</x:v>
      </x:c>
      <x:c r="Q305" s="19" t="str">
        <x:v>https://afpd-accountability.com/records/openmhz/openmhz-afpd-car-to-car-2026-10-13/dcfems-6001-1791904962.m4a</x:v>
      </x:c>
      <x:c r="R305" s="19" t="str">
        <x:v>https://afpd-accountability.com/police-radio/?date=2026-10-13</x:v>
      </x:c>
      <x:c r="S305" s="13" t="n">
        <x:v>16</x:v>
      </x:c>
    </x:row>
    <x:row r="306" ht="60" customHeight="1">
      <x:c r="A306" s="13" t="str">
        <x:v>E299</x:v>
      </x:c>
      <x:c r="B306" s="13" t="str">
        <x:v>Luke</x:v>
      </x:c>
      <x:c r="C306" s="14" t="n">
        <x:v>46308</x:v>
      </x:c>
      <x:c r="D306" s="13" t="n">
        <x:v>13</x:v>
      </x:c>
      <x:c r="E306" s="15" t="n">
        <x:v>0.39274305555555555</x:v>
      </x:c>
      <x:c r="F306" s="16" t="str">
        <x:v>14590072</x:v>
      </x:c>
      <x:c r="G306" s="13" t="n">
        <x:v>14</x:v>
      </x:c>
      <x:c r="H306" s="15" t="n">
        <x:v>0.39282407407407405</x:v>
      </x:c>
      <x:c r="I306" s="17" t="n">
        <x:f>ROUND((H306-E306)*86400,0)</x:f>
        <x:v>7</x:v>
      </x:c>
      <x:c r="J306" s="16" t="str">
        <x:v>14590117</x:v>
      </x:c>
      <x:c r="K306" s="13" t="str">
        <x:v>I'll be there in one minute, [Luke?]. Just hold tight where you're at.</x:v>
      </x:c>
      <x:c r="L306" s="13" t="str">
        <x:v>I'm just parked on [100 East?].</x:v>
      </x:c>
      <x:c r="M306" s="13" t="str">
        <x:v>Transcript association</x:v>
      </x:c>
      <x:c r="N306" s="13" t="str"/>
      <x:c r="O306" s="18" t="str">
        <x:v>Not reviewed</x:v>
      </x:c>
      <x:c r="P306" s="19" t="str">
        <x:v>https://afpd-accountability.com/records/openmhz/openmhz-afpd-car-to-car-2026-10-13/dcfems-6001-1791905133.m4a</x:v>
      </x:c>
      <x:c r="Q306" s="19" t="str">
        <x:v>https://afpd-accountability.com/records/openmhz/openmhz-afpd-car-to-car-2026-10-13/dcfems-6001-1791905140.m4a</x:v>
      </x:c>
      <x:c r="R306" s="19" t="str">
        <x:v>https://afpd-accountability.com/police-radio/?date=2026-10-13</x:v>
      </x:c>
      <x:c r="S306" s="13" t="n">
        <x:v>7</x:v>
      </x:c>
    </x:row>
    <x:row r="307" ht="60" customHeight="1">
      <x:c r="A307" s="13" t="str">
        <x:v>E300</x:v>
      </x:c>
      <x:c r="B307" s="13" t="str">
        <x:v>Phil</x:v>
      </x:c>
      <x:c r="C307" s="14" t="n">
        <x:v>46308</x:v>
      </x:c>
      <x:c r="D307" s="13" t="n">
        <x:v>111</x:v>
      </x:c>
      <x:c r="E307" s="15" t="n">
        <x:v>0.6408101851851852</x:v>
      </x:c>
      <x:c r="F307" s="16" t="str">
        <x:v>14590022</x:v>
      </x:c>
      <x:c r="G307" s="13" t="n">
        <x:v>112</x:v>
      </x:c>
      <x:c r="H307" s="15" t="n">
        <x:v>0.6409027777777778</x:v>
      </x:c>
      <x:c r="I307" s="17" t="n">
        <x:f>ROUND((H307-E307)*86400,0)</x:f>
        <x:v>8</x:v>
      </x:c>
      <x:c r="J307" s="16" t="str">
        <x:v>14590126</x:v>
      </x:c>
      <x:c r="K307" s="13" t="str">
        <x:v>Hey, [Phil?], will you put your lights on, and I'll have the ambulance go to your location?</x:v>
      </x:c>
      <x:c r="L307" s="13" t="str">
        <x:v>[You have work / yeah, go ahead].</x:v>
      </x:c>
      <x:c r="M307" s="13" t="str">
        <x:v>Transcript association</x:v>
      </x:c>
      <x:c r="N307" s="13" t="str">
        <x:v>Phil is not a unique first name on the roster; Philip Valadez is a candidate because of a separate Valadez hail.</x:v>
      </x:c>
      <x:c r="O307" s="18" t="str">
        <x:v>Not reviewed</x:v>
      </x:c>
      <x:c r="P307" s="19" t="str">
        <x:v>https://afpd-accountability.com/records/openmhz/openmhz-afpd-car-to-car-2026-10-13/dcfems-6001-1791926566.m4a</x:v>
      </x:c>
      <x:c r="Q307" s="19" t="str">
        <x:v>https://afpd-accountability.com/records/openmhz/openmhz-afpd-car-to-car-2026-10-13/dcfems-6001-1791926574.m4a</x:v>
      </x:c>
      <x:c r="R307" s="19" t="str">
        <x:v>https://afpd-accountability.com/police-radio/?date=2026-10-13</x:v>
      </x:c>
      <x:c r="S307" s="13" t="n">
        <x:v>8</x:v>
      </x:c>
    </x:row>
    <x:row r="308" ht="60" customHeight="1">
      <x:c r="A308" s="13" t="str">
        <x:v>E301</x:v>
      </x:c>
      <x:c r="B308" s="13" t="str">
        <x:v>Heaton / Colby</x:v>
      </x:c>
      <x:c r="C308" s="14" t="n">
        <x:v>46309</x:v>
      </x:c>
      <x:c r="D308" s="13" t="n">
        <x:v>29</x:v>
      </x:c>
      <x:c r="E308" s="15" t="n">
        <x:v>0.5377314814814815</x:v>
      </x:c>
      <x:c r="F308" s="16" t="str">
        <x:v>14590225</x:v>
      </x:c>
      <x:c r="G308" s="13" t="n">
        <x:v>30</x:v>
      </x:c>
      <x:c r="H308" s="15" t="n">
        <x:v>0.5378356481481481</x:v>
      </x:c>
      <x:c r="I308" s="17" t="n">
        <x:f>ROUND((H308-E308)*86400,0)</x:f>
        <x:v>9</x:v>
      </x:c>
      <x:c r="J308" s="16" t="str">
        <x:v>14590100</x:v>
      </x:c>
      <x:c r="K308" s="13" t="str">
        <x:v>Hey [Heaton?], we're gonna have to add the Civic. I'll get the info for you.</x:v>
      </x:c>
      <x:c r="L308" s="13" t="str">
        <x:v>Say that again.</x:v>
      </x:c>
      <x:c r="M308" s="13" t="str">
        <x:v>Transcript association</x:v>
      </x:c>
      <x:c r="N308" s="13" t="str">
        <x:v>Includes both Heaton and Colby hails. 14590100 also answers Sam; 14590091 answers other names. Officer/crew assignment is unresolved.</x:v>
      </x:c>
      <x:c r="O308" s="18" t="str">
        <x:v>Not reviewed</x:v>
      </x:c>
      <x:c r="P308" s="19" t="str">
        <x:v>https://afpd-accountability.com/records/openmhz/openmhz-afpd-car-to-car-2026-10-14/dcfems-6001-1792004060.m4a</x:v>
      </x:c>
      <x:c r="Q308" s="19" t="str">
        <x:v>https://afpd-accountability.com/records/openmhz/openmhz-afpd-car-to-car-2026-10-14/dcfems-6001-1792004069.m4a</x:v>
      </x:c>
      <x:c r="R308" s="19" t="str">
        <x:v>https://afpd-accountability.com/police-radio/?date=2026-10-14</x:v>
      </x:c>
      <x:c r="S308" s="13" t="n">
        <x:v>9</x:v>
      </x:c>
    </x:row>
    <x:row r="309" ht="60" customHeight="1">
      <x:c r="A309" s="13" t="str">
        <x:v>E302</x:v>
      </x:c>
      <x:c r="B309" s="13" t="str">
        <x:v>Diego / Garcia</x:v>
      </x:c>
      <x:c r="C309" s="14" t="n">
        <x:v>46309</x:v>
      </x:c>
      <x:c r="D309" s="13" t="n">
        <x:v>43</x:v>
      </x:c>
      <x:c r="E309" s="15" t="n">
        <x:v>0.6600347222222223</x:v>
      </x:c>
      <x:c r="F309" s="16" t="str">
        <x:v>14590247</x:v>
      </x:c>
      <x:c r="G309" s="13" t="n">
        <x:v>44</x:v>
      </x:c>
      <x:c r="H309" s="15" t="n">
        <x:v>0.6601157407407408</x:v>
      </x:c>
      <x:c r="I309" s="17" t="n">
        <x:f>ROUND((H309-E309)*86400,0)</x:f>
        <x:v>7</x:v>
      </x:c>
      <x:c r="J309" s="16" t="str">
        <x:v>14590111</x:v>
      </x:c>
      <x:c r="K309" s="13" t="str">
        <x:v>Hey Diego, are you available [by 21?]</x:v>
      </x:c>
      <x:c r="L309" s="13" t="str">
        <x:v>I'm not. I'm [21?] right now [unclear ending].</x:v>
      </x:c>
      <x:c r="M309" s="13" t="str">
        <x:v>Transcript association</x:v>
      </x:c>
      <x:c r="N309" s="13" t="str"/>
      <x:c r="O309" s="18" t="str">
        <x:v>Not reviewed</x:v>
      </x:c>
      <x:c r="P309" s="19" t="str">
        <x:v>https://afpd-accountability.com/records/openmhz/openmhz-afpd-car-to-car-2026-10-14/dcfems-6001-1792014627.m4a</x:v>
      </x:c>
      <x:c r="Q309" s="19" t="str">
        <x:v>https://afpd-accountability.com/records/openmhz/openmhz-afpd-car-to-car-2026-10-14/dcfems-6001-1792014634.m4a</x:v>
      </x:c>
      <x:c r="R309" s="19" t="str">
        <x:v>https://afpd-accountability.com/police-radio/?date=2026-10-14</x:v>
      </x:c>
      <x:c r="S309" s="13" t="n">
        <x:v>7</x:v>
      </x:c>
    </x:row>
    <x:row r="310" ht="60" customHeight="1">
      <x:c r="A310" s="13" t="str">
        <x:v>E303</x:v>
      </x:c>
      <x:c r="B310" s="13" t="str">
        <x:v>Cox</x:v>
      </x:c>
      <x:c r="C310" s="14" t="n">
        <x:v>46309</x:v>
      </x:c>
      <x:c r="D310" s="13" t="n">
        <x:v>65</x:v>
      </x:c>
      <x:c r="E310" s="15" t="n">
        <x:v>0.789224537037037</x:v>
      </x:c>
      <x:c r="F310" s="16" t="str">
        <x:v>14590123</x:v>
      </x:c>
      <x:c r="G310" s="13" t="n">
        <x:v>66</x:v>
      </x:c>
      <x:c r="H310" s="15" t="n">
        <x:v>0.7892824074074074</x:v>
      </x:c>
      <x:c r="I310" s="17" t="n">
        <x:f>ROUND((H310-E310)*86400,0)</x:f>
        <x:v>5</x:v>
      </x:c>
      <x:c r="J310" s="16" t="str">
        <x:v>14590020</x:v>
      </x:c>
      <x:c r="K310" s="13" t="str">
        <x:v>Cox, are you going to the parent's address, or are you [unclear wording]?</x:v>
      </x:c>
      <x:c r="L310" s="13" t="str">
        <x:v>No, I'm going to go see if we can locate the suspect first.</x:v>
      </x:c>
      <x:c r="M310" s="13" t="str">
        <x:v>Transcript association</x:v>
      </x:c>
      <x:c r="N310" s="13" t="str"/>
      <x:c r="O310" s="18" t="str">
        <x:v>Not reviewed</x:v>
      </x:c>
      <x:c r="P310" s="19" t="str">
        <x:v>https://afpd-accountability.com/records/openmhz/openmhz-afpd-car-to-car-2026-10-14/dcfems-6001-1792025789.m4a</x:v>
      </x:c>
      <x:c r="Q310" s="19" t="str">
        <x:v>https://afpd-accountability.com/records/openmhz/openmhz-afpd-car-to-car-2026-10-14/dcfems-6001-1792025794.m4a</x:v>
      </x:c>
      <x:c r="R310" s="19" t="str">
        <x:v>https://afpd-accountability.com/police-radio/?date=2026-10-14</x:v>
      </x:c>
      <x:c r="S310" s="13" t="n">
        <x:v>5</x:v>
      </x:c>
    </x:row>
    <x:row r="311" ht="60" customHeight="1">
      <x:c r="A311" s="13" t="str">
        <x:v>E304</x:v>
      </x:c>
      <x:c r="B311" s="13" t="str">
        <x:v>Richardson / Cole</x:v>
      </x:c>
      <x:c r="C311" s="14" t="n">
        <x:v>46309</x:v>
      </x:c>
      <x:c r="D311" s="13" t="n">
        <x:v>85</x:v>
      </x:c>
      <x:c r="E311" s="15" t="n">
        <x:v>0.8141435185185185</x:v>
      </x:c>
      <x:c r="F311" s="16" t="str">
        <x:v>14590107</x:v>
      </x:c>
      <x:c r="G311" s="13" t="n">
        <x:v>86</x:v>
      </x:c>
      <x:c r="H311" s="15" t="n">
        <x:v>0.8142361111111112</x:v>
      </x:c>
      <x:c r="I311" s="17" t="n">
        <x:f>ROUND((H311-E311)*86400,0)</x:f>
        <x:v>8</x:v>
      </x:c>
      <x:c r="J311" s="16" t="str">
        <x:v>14590044</x:v>
      </x:c>
      <x:c r="K311" s="13" t="str">
        <x:v>You want another [Richardson?]</x:v>
      </x:c>
      <x:c r="L311" s="13" t="str">
        <x:v>[Negative / later].</x:v>
      </x:c>
      <x:c r="M311" s="13" t="str">
        <x:v>Transcript association</x:v>
      </x:c>
      <x:c r="N311" s="13" t="str"/>
      <x:c r="O311" s="18" t="str">
        <x:v>Not reviewed</x:v>
      </x:c>
      <x:c r="P311" s="19" t="str">
        <x:v>https://afpd-accountability.com/records/openmhz/openmhz-afpd-car-to-car-2026-10-14/dcfems-6001-1792027942.m4a</x:v>
      </x:c>
      <x:c r="Q311" s="19" t="str">
        <x:v>https://afpd-accountability.com/records/openmhz/openmhz-afpd-car-to-car-2026-10-14/dcfems-6001-1792027950.m4a</x:v>
      </x:c>
      <x:c r="R311" s="19" t="str">
        <x:v>https://afpd-accountability.com/police-radio/?date=2026-10-14</x:v>
      </x:c>
      <x:c r="S311" s="13" t="n">
        <x:v>8</x:v>
      </x:c>
    </x:row>
    <x:row r="312" ht="60" customHeight="1">
      <x:c r="A312" s="13" t="str">
        <x:v>E305</x:v>
      </x:c>
      <x:c r="B312" s="13" t="str">
        <x:v>Cox</x:v>
      </x:c>
      <x:c r="C312" s="14" t="n">
        <x:v>46309</x:v>
      </x:c>
      <x:c r="D312" s="13" t="n">
        <x:v>102</x:v>
      </x:c>
      <x:c r="E312" s="15" t="n">
        <x:v>0.8466319444444445</x:v>
      </x:c>
      <x:c r="F312" s="16" t="str">
        <x:v>14590123</x:v>
      </x:c>
      <x:c r="G312" s="13" t="n">
        <x:v>103</x:v>
      </x:c>
      <x:c r="H312" s="15" t="n">
        <x:v>0.846712962962963</x:v>
      </x:c>
      <x:c r="I312" s="17" t="n">
        <x:f>ROUND((H312-E312)*86400,0)</x:f>
        <x:v>7</x:v>
      </x:c>
      <x:c r="J312" s="16" t="str">
        <x:v>14580155</x:v>
      </x:c>
      <x:c r="K312" s="13" t="str">
        <x:v>Cox, you can [10-10 / unclear wording] too.</x:v>
      </x:c>
      <x:c r="L312" s="13" t="str">
        <x:v>[Unclear question.]</x:v>
      </x:c>
      <x:c r="M312" s="13" t="str">
        <x:v>Transcript association</x:v>
      </x:c>
      <x:c r="N312" s="13" t="str"/>
      <x:c r="O312" s="18" t="str">
        <x:v>Not reviewed</x:v>
      </x:c>
      <x:c r="P312" s="19" t="str">
        <x:v>https://afpd-accountability.com/records/openmhz/openmhz-afpd-car-to-car-2026-10-14/dcfems-6001-1792030749.m4a</x:v>
      </x:c>
      <x:c r="Q312" s="19" t="str">
        <x:v>https://afpd-accountability.com/records/openmhz/openmhz-afpd-car-to-car-2026-10-14/dcfems-6001-1792030756.m4a</x:v>
      </x:c>
      <x:c r="R312" s="19" t="str">
        <x:v>https://afpd-accountability.com/police-radio/?date=2026-10-14</x:v>
      </x:c>
      <x:c r="S312" s="13" t="n">
        <x:v>7</x:v>
      </x:c>
    </x:row>
    <x:row r="313" ht="60" customHeight="1">
      <x:c r="A313" s="13" t="str">
        <x:v>E306</x:v>
      </x:c>
      <x:c r="B313" s="13" t="str">
        <x:v>Hawkins</x:v>
      </x:c>
      <x:c r="C313" s="14" t="n">
        <x:v>46309</x:v>
      </x:c>
      <x:c r="D313" s="13" t="n">
        <x:v>165</x:v>
      </x:c>
      <x:c r="E313" s="15" t="n">
        <x:v>0.8818171296296297</x:v>
      </x:c>
      <x:c r="F313" s="16" t="str">
        <x:v>14590020</x:v>
      </x:c>
      <x:c r="G313" s="13" t="n">
        <x:v>166</x:v>
      </x:c>
      <x:c r="H313" s="15" t="n">
        <x:v>0.8818634259259259</x:v>
      </x:c>
      <x:c r="I313" s="17" t="n">
        <x:f>ROUND((H313-E313)*86400,0)</x:f>
        <x:v>4</x:v>
      </x:c>
      <x:c r="J313" s="16" t="str">
        <x:v>14590107</x:v>
      </x:c>
      <x:c r="K313" s="13" t="str">
        <x:v>[Hawkins?], can you go check that for me?</x:v>
      </x:c>
      <x:c r="L313" s="13" t="str">
        <x:v>The fence on the back side, as I just said.</x:v>
      </x:c>
      <x:c r="M313" s="13" t="str">
        <x:v>Transcript association</x:v>
      </x:c>
      <x:c r="N313" s="13" t="str"/>
      <x:c r="O313" s="18" t="str">
        <x:v>Not reviewed</x:v>
      </x:c>
      <x:c r="P313" s="19" t="str">
        <x:v>https://afpd-accountability.com/records/openmhz/openmhz-afpd-car-to-car-2026-10-14/dcfems-6001-1792033789.m4a</x:v>
      </x:c>
      <x:c r="Q313" s="19" t="str">
        <x:v>https://afpd-accountability.com/records/openmhz/openmhz-afpd-car-to-car-2026-10-14/dcfems-6001-1792033793.m4a</x:v>
      </x:c>
      <x:c r="R313" s="19" t="str">
        <x:v>https://afpd-accountability.com/police-radio/?date=2026-10-14</x:v>
      </x:c>
      <x:c r="S313" s="13" t="n">
        <x:v>4</x:v>
      </x:c>
    </x:row>
    <x:row r="314" ht="60" customHeight="1">
      <x:c r="A314" s="13" t="str">
        <x:v>E307</x:v>
      </x:c>
      <x:c r="B314" s="13" t="str">
        <x:v>Hawkins</x:v>
      </x:c>
      <x:c r="C314" s="14" t="n">
        <x:v>46309</x:v>
      </x:c>
      <x:c r="D314" s="13" t="n">
        <x:v>190</x:v>
      </x:c>
      <x:c r="E314" s="15" t="n">
        <x:v>0.8894907407407407</x:v>
      </x:c>
      <x:c r="F314" s="16" t="str">
        <x:v>14590044</x:v>
      </x:c>
      <x:c r="G314" s="13" t="n">
        <x:v>191</x:v>
      </x:c>
      <x:c r="H314" s="15" t="n">
        <x:v>0.8895601851851852</x:v>
      </x:c>
      <x:c r="I314" s="17" t="n">
        <x:f>ROUND((H314-E314)*86400,0)</x:f>
        <x:v>6</x:v>
      </x:c>
      <x:c r="J314" s="16" t="str">
        <x:v>14590107</x:v>
      </x:c>
      <x:c r="K314" s="13" t="str">
        <x:v>[Hawkins?], you have eyes on?</x:v>
      </x:c>
      <x:c r="L314" s="13" t="str">
        <x:v>No, that's what I'm trying to get from [Cox?]. I don't know where he's going.</x:v>
      </x:c>
      <x:c r="M314" s="13" t="str">
        <x:v>Transcript association</x:v>
      </x:c>
      <x:c r="N314" s="13" t="str"/>
      <x:c r="O314" s="18" t="str">
        <x:v>Not reviewed</x:v>
      </x:c>
      <x:c r="P314" s="19" t="str">
        <x:v>https://afpd-accountability.com/records/openmhz/openmhz-afpd-car-to-car-2026-10-14/dcfems-6001-1792034452.m4a</x:v>
      </x:c>
      <x:c r="Q314" s="19" t="str">
        <x:v>https://afpd-accountability.com/records/openmhz/openmhz-afpd-car-to-car-2026-10-14/dcfems-6001-1792034458.m4a</x:v>
      </x:c>
      <x:c r="R314" s="19" t="str">
        <x:v>https://afpd-accountability.com/police-radio/?date=2026-10-14</x:v>
      </x:c>
      <x:c r="S314" s="13" t="n">
        <x:v>6</x:v>
      </x:c>
    </x:row>
    <x:row r="315" ht="60" customHeight="1">
      <x:c r="A315" s="13" t="str">
        <x:v>E308</x:v>
      </x:c>
      <x:c r="B315" s="13" t="str">
        <x:v>Mitch</x:v>
      </x:c>
      <x:c r="C315" s="14" t="n">
        <x:v>46310</x:v>
      </x:c>
      <x:c r="D315" s="13" t="n">
        <x:v>26</x:v>
      </x:c>
      <x:c r="E315" s="15" t="n">
        <x:v>0.13565972222222222</x:v>
      </x:c>
      <x:c r="F315" s="16" t="str">
        <x:v>14590123</x:v>
      </x:c>
      <x:c r="G315" s="13" t="n">
        <x:v>27</x:v>
      </x:c>
      <x:c r="H315" s="15" t="n">
        <x:v>0.13583333333333333</x:v>
      </x:c>
      <x:c r="I315" s="17" t="n">
        <x:f>ROUND((H315-E315)*86400,0)</x:f>
        <x:v>15</x:v>
      </x:c>
      <x:c r="J315" s="16" t="str">
        <x:v>14590344</x:v>
      </x:c>
      <x:c r="K315" s="13" t="str">
        <x:v>Hey Mitch, do you think plugging your phone charger into a private business outlet is [unclear wording]?</x:v>
      </x:c>
      <x:c r="L315" s="13" t="str">
        <x:v>Uh, typically it is, yeah, but the problem with after hours is it has to be determined by the manager, whoever's there, whether or not they want to be a victim of it.</x:v>
      </x:c>
      <x:c r="M315" s="13" t="str">
        <x:v>Transcript association</x:v>
      </x:c>
      <x:c r="N315" s="13" t="str">
        <x:v>14590036 also answers Hawkins. Keep 14590344 separate from 14590036 pending audio and assignment confirmation.</x:v>
      </x:c>
      <x:c r="O315" s="18" t="str">
        <x:v>Not reviewed</x:v>
      </x:c>
      <x:c r="P315" s="19" t="str">
        <x:v>https://afpd-accountability.com/records/openmhz/openmhz-afpd-car-to-car-2026-10-15/dcfems-6001-1792055721.m4a</x:v>
      </x:c>
      <x:c r="Q315" s="19" t="str">
        <x:v>https://afpd-accountability.com/records/openmhz/openmhz-afpd-car-to-car-2026-10-15/dcfems-6001-1792055736.m4a</x:v>
      </x:c>
      <x:c r="R315" s="19" t="str">
        <x:v>https://afpd-accountability.com/police-radio/?date=2026-10-15</x:v>
      </x:c>
      <x:c r="S315" s="13" t="n">
        <x:v>15</x:v>
      </x:c>
    </x:row>
    <x:row r="316" ht="60" customHeight="1">
      <x:c r="A316" s="13" t="str">
        <x:v>E309</x:v>
      </x:c>
      <x:c r="B316" s="13" t="str">
        <x:v>Jake</x:v>
      </x:c>
      <x:c r="C316" s="14" t="n">
        <x:v>46310</x:v>
      </x:c>
      <x:c r="D316" s="13" t="n">
        <x:v>32</x:v>
      </x:c>
      <x:c r="E316" s="15" t="n">
        <x:v>0.43506944444444445</x:v>
      </x:c>
      <x:c r="F316" s="16" t="str">
        <x:v>14590084</x:v>
      </x:c>
      <x:c r="G316" s="13" t="n">
        <x:v>33</x:v>
      </x:c>
      <x:c r="H316" s="15" t="n">
        <x:v>0.43515046296296295</x:v>
      </x:c>
      <x:c r="I316" s="17" t="n">
        <x:f>ROUND((H316-E316)*86400,0)</x:f>
        <x:v>7</x:v>
      </x:c>
      <x:c r="J316" s="16" t="str">
        <x:v>14590118</x:v>
      </x:c>
      <x:c r="K316" s="13" t="str">
        <x:v>Hey Jake, there's a white sedan that's [unclear word] out right now.</x:v>
      </x:c>
      <x:c r="L316" s="13" t="str">
        <x:v>Who's in it and which way are they going?</x:v>
      </x:c>
      <x:c r="M316" s="13" t="str">
        <x:v>Transcript association</x:v>
      </x:c>
      <x:c r="N316" s="13" t="str">
        <x:v>More than one officer on the roster uses Jake or Jacob. These rows preserve the spoken first name only.</x:v>
      </x:c>
      <x:c r="O316" s="18" t="str">
        <x:v>Not reviewed</x:v>
      </x:c>
      <x:c r="P316" s="19" t="str">
        <x:v>https://afpd-accountability.com/records/openmhz/openmhz-afpd-car-to-car-2026-10-15/dcfems-6001-1792081590.m4a</x:v>
      </x:c>
      <x:c r="Q316" s="19" t="str">
        <x:v>https://afpd-accountability.com/records/openmhz/openmhz-afpd-car-to-car-2026-10-15/dcfems-6001-1792081597.m4a</x:v>
      </x:c>
      <x:c r="R316" s="19" t="str">
        <x:v>https://afpd-accountability.com/police-radio/?date=2026-10-15</x:v>
      </x:c>
      <x:c r="S316" s="13" t="n">
        <x:v>7</x:v>
      </x:c>
    </x:row>
    <x:row r="317" ht="60" customHeight="1">
      <x:c r="A317" s="13" t="str">
        <x:v>E310</x:v>
      </x:c>
      <x:c r="B317" s="13" t="str">
        <x:v>Jake</x:v>
      </x:c>
      <x:c r="C317" s="14" t="n">
        <x:v>46310</x:v>
      </x:c>
      <x:c r="D317" s="13" t="n">
        <x:v>44</x:v>
      </x:c>
      <x:c r="E317" s="15" t="n">
        <x:v>0.4378240740740741</x:v>
      </x:c>
      <x:c r="F317" s="16" t="str">
        <x:v>14590084</x:v>
      </x:c>
      <x:c r="G317" s="13" t="n">
        <x:v>45</x:v>
      </x:c>
      <x:c r="H317" s="15" t="n">
        <x:v>0.43787037037037035</x:v>
      </x:c>
      <x:c r="I317" s="17" t="n">
        <x:f>ROUND((H317-E317)*86400,0)</x:f>
        <x:v>4</x:v>
      </x:c>
      <x:c r="J317" s="16" t="str">
        <x:v>14590118</x:v>
      </x:c>
      <x:c r="K317" s="13" t="str">
        <x:v>Hey Jake, do you still [have me posted / want me posting] up here?</x:v>
      </x:c>
      <x:c r="L317" s="13" t="str">
        <x:v>No, you're good.</x:v>
      </x:c>
      <x:c r="M317" s="13" t="str">
        <x:v>Transcript association</x:v>
      </x:c>
      <x:c r="N317" s="13" t="str">
        <x:v>More than one officer on the roster uses Jake or Jacob. These rows preserve the spoken first name only.</x:v>
      </x:c>
      <x:c r="O317" s="18" t="str">
        <x:v>Not reviewed</x:v>
      </x:c>
      <x:c r="P317" s="19" t="str">
        <x:v>https://afpd-accountability.com/records/openmhz/openmhz-afpd-car-to-car-2026-10-15/dcfems-6001-1792081828.m4a</x:v>
      </x:c>
      <x:c r="Q317" s="19" t="str">
        <x:v>https://afpd-accountability.com/records/openmhz/openmhz-afpd-car-to-car-2026-10-15/dcfems-6001-1792081832.m4a</x:v>
      </x:c>
      <x:c r="R317" s="19" t="str">
        <x:v>https://afpd-accountability.com/police-radio/?date=2026-10-15</x:v>
      </x:c>
      <x:c r="S317" s="13" t="n">
        <x:v>4</x:v>
      </x:c>
    </x:row>
    <x:row r="318" ht="60" customHeight="1">
      <x:c r="A318" s="13" t="str">
        <x:v>E311</x:v>
      </x:c>
      <x:c r="B318" s="13" t="str">
        <x:v>Ethan</x:v>
      </x:c>
      <x:c r="C318" s="14" t="n">
        <x:v>46310</x:v>
      </x:c>
      <x:c r="D318" s="13" t="n">
        <x:v>67</x:v>
      </x:c>
      <x:c r="E318" s="15" t="n">
        <x:v>0.5309027777777777</x:v>
      </x:c>
      <x:c r="F318" s="16" t="str">
        <x:v>14590247</x:v>
      </x:c>
      <x:c r="G318" s="13" t="n">
        <x:v>68</x:v>
      </x:c>
      <x:c r="H318" s="15" t="n">
        <x:v>0.5309837962962963</x:v>
      </x:c>
      <x:c r="I318" s="17" t="n">
        <x:f>ROUND((H318-E318)*86400,0)</x:f>
        <x:v>7</x:v>
      </x:c>
      <x:c r="J318" s="16" t="str">
        <x:v>14590225</x:v>
      </x:c>
      <x:c r="K318" s="13" t="str">
        <x:v>[Ethan?], do you want me to start working on [tows / those]?</x:v>
      </x:c>
      <x:c r="L318" s="13" t="str">
        <x:v>We got [tows / those].</x:v>
      </x:c>
      <x:c r="M318" s="13" t="str">
        <x:v>Conflicting names on this ID</x:v>
      </x:c>
      <x:c r="N318" s="13" t="str">
        <x:v>14590091 also answers Heaton/Colby and Colton; 14590225 also answers Josh. Response adjacency may identify a crew or a different responder.</x:v>
      </x:c>
      <x:c r="O318" s="18" t="str">
        <x:v>Not reviewed</x:v>
      </x:c>
      <x:c r="P318" s="19" t="str">
        <x:v>https://afpd-accountability.com/records/openmhz/openmhz-afpd-car-to-car-2026-10-15/dcfems-6001-1792089870.m4a</x:v>
      </x:c>
      <x:c r="Q318" s="19" t="str">
        <x:v>https://afpd-accountability.com/records/openmhz/openmhz-afpd-car-to-car-2026-10-15/dcfems-6001-1792089877.m4a</x:v>
      </x:c>
      <x:c r="R318" s="19" t="str">
        <x:v>https://afpd-accountability.com/police-radio/?date=2026-10-15</x:v>
      </x:c>
      <x:c r="S318" s="13" t="n">
        <x:v>7</x:v>
      </x:c>
    </x:row>
    <x:row r="319" ht="60" customHeight="1">
      <x:c r="A319" s="13" t="str">
        <x:v>E312</x:v>
      </x:c>
      <x:c r="B319" s="13" t="str">
        <x:v>Ron</x:v>
      </x:c>
      <x:c r="C319" s="14" t="n">
        <x:v>46310</x:v>
      </x:c>
      <x:c r="D319" s="13" t="n">
        <x:v>78</x:v>
      </x:c>
      <x:c r="E319" s="15" t="n">
        <x:v>0.650787037037037</x:v>
      </x:c>
      <x:c r="F319" s="16" t="str">
        <x:v>14590406</x:v>
      </x:c>
      <x:c r="G319" s="13" t="n">
        <x:v>79</x:v>
      </x:c>
      <x:c r="H319" s="15" t="n">
        <x:v>0.6508680555555556</x:v>
      </x:c>
      <x:c r="I319" s="17" t="n">
        <x:f>ROUND((H319-E319)*86400,0)</x:f>
        <x:v>7</x:v>
      </x:c>
      <x:c r="J319" s="16" t="str">
        <x:v>14590099</x:v>
      </x:c>
      <x:c r="K319" s="13" t="str">
        <x:v>Hey Ron, what's the code?</x:v>
      </x:c>
      <x:c r="L319" s="13" t="str">
        <x:v>[Code redacted.]</x:v>
      </x:c>
      <x:c r="M319" s="13" t="str">
        <x:v>Transcript association</x:v>
      </x:c>
      <x:c r="N319" s="13" t="str">
        <x:v>Ron could be a name, nickname, or a transcription of Bronson. Several distinct IDs appear; no roster identity assigned.</x:v>
      </x:c>
      <x:c r="O319" s="18" t="str">
        <x:v>Not reviewed</x:v>
      </x:c>
      <x:c r="P319" s="19" t="str">
        <x:v>https://afpd-accountability.com/records/openmhz/openmhz-afpd-car-to-car-2026-10-15/dcfems-6001-1792100228.m4a</x:v>
      </x:c>
      <x:c r="Q319" s="19" t="str">
        <x:v>https://afpd-accountability.com/records/openmhz/openmhz-afpd-car-to-car-2026-10-15/dcfems-6001-1792100235.m4a</x:v>
      </x:c>
      <x:c r="R319" s="19" t="str">
        <x:v>https://afpd-accountability.com/police-radio/?date=2026-10-15</x:v>
      </x:c>
      <x:c r="S319" s="13" t="n">
        <x:v>7</x:v>
      </x:c>
    </x:row>
    <x:row r="320" ht="60" customHeight="1">
      <x:c r="A320" s="13" t="str">
        <x:v>E313</x:v>
      </x:c>
      <x:c r="B320" s="13" t="str">
        <x:v>Mitch</x:v>
      </x:c>
      <x:c r="C320" s="14" t="n">
        <x:v>46310</x:v>
      </x:c>
      <x:c r="D320" s="13" t="n">
        <x:v>94</x:v>
      </x:c>
      <x:c r="E320" s="15" t="n">
        <x:v>0.7529166666666667</x:v>
      </x:c>
      <x:c r="F320" s="16" t="str">
        <x:v>14590044</x:v>
      </x:c>
      <x:c r="G320" s="13" t="n">
        <x:v>95</x:v>
      </x:c>
      <x:c r="H320" s="15" t="n">
        <x:v>0.7530208333333334</x:v>
      </x:c>
      <x:c r="I320" s="17" t="n">
        <x:f>ROUND((H320-E320)*86400,0)</x:f>
        <x:v>9</x:v>
      </x:c>
      <x:c r="J320" s="16" t="str">
        <x:v>14590036</x:v>
      </x:c>
      <x:c r="K320" s="13" t="str">
        <x:v>Mitch, you on here?</x:v>
      </x:c>
      <x:c r="L320" s="13" t="str">
        <x:v>Go ahead, [Papa / Robert].</x:v>
      </x:c>
      <x:c r="M320" s="13" t="str">
        <x:v>Transcript association</x:v>
      </x:c>
      <x:c r="N320" s="13" t="str">
        <x:v>14590036 also answers Hawkins. Keep 14590344 separate from 14590036 pending audio and assignment confirmation.</x:v>
      </x:c>
      <x:c r="O320" s="18" t="str">
        <x:v>Not reviewed</x:v>
      </x:c>
      <x:c r="P320" s="19" t="str">
        <x:v>https://afpd-accountability.com/records/openmhz/openmhz-afpd-car-to-car-2026-10-15/dcfems-6001-1792109052.m4a</x:v>
      </x:c>
      <x:c r="Q320" s="19" t="str">
        <x:v>https://afpd-accountability.com/records/openmhz/openmhz-afpd-car-to-car-2026-10-15/dcfems-6001-1792109061.m4a</x:v>
      </x:c>
      <x:c r="R320" s="19" t="str">
        <x:v>https://afpd-accountability.com/police-radio/?date=2026-10-15</x:v>
      </x:c>
      <x:c r="S320" s="13" t="n">
        <x:v>9</x:v>
      </x:c>
    </x:row>
    <x:row r="321" ht="60" customHeight="1">
      <x:c r="A321" s="13" t="str">
        <x:v>E314</x:v>
      </x:c>
      <x:c r="B321" s="13" t="str">
        <x:v>Jake</x:v>
      </x:c>
      <x:c r="C321" s="14" t="n">
        <x:v>46310</x:v>
      </x:c>
      <x:c r="D321" s="13" t="n">
        <x:v>100</x:v>
      </x:c>
      <x:c r="E321" s="15" t="n">
        <x:v>0.7638541666666666</x:v>
      </x:c>
      <x:c r="F321" s="16" t="str">
        <x:v>14590123</x:v>
      </x:c>
      <x:c r="G321" s="13" t="n">
        <x:v>101</x:v>
      </x:c>
      <x:c r="H321" s="15" t="n">
        <x:v>0.763912037037037</x:v>
      </x:c>
      <x:c r="I321" s="17" t="n">
        <x:f>ROUND((H321-E321)*86400,0)</x:f>
        <x:v>5</x:v>
      </x:c>
      <x:c r="J321" s="16" t="str">
        <x:v>14590118</x:v>
      </x:c>
      <x:c r="K321" s="13" t="str">
        <x:v>Jake, just [10-14?]. [Unclear wording] go downhill back here.</x:v>
      </x:c>
      <x:c r="L321" s="13" t="str">
        <x:v>Copy, I'm right behind you.</x:v>
      </x:c>
      <x:c r="M321" s="13" t="str">
        <x:v>Transcript association</x:v>
      </x:c>
      <x:c r="N321" s="13" t="str">
        <x:v>More than one officer on the roster uses Jake or Jacob. These rows preserve the spoken first name only.</x:v>
      </x:c>
      <x:c r="O321" s="18" t="str">
        <x:v>Not reviewed</x:v>
      </x:c>
      <x:c r="P321" s="19" t="str">
        <x:v>https://afpd-accountability.com/records/openmhz/openmhz-afpd-car-to-car-2026-10-15/dcfems-6001-1792109997.m4a</x:v>
      </x:c>
      <x:c r="Q321" s="19" t="str">
        <x:v>https://afpd-accountability.com/records/openmhz/openmhz-afpd-car-to-car-2026-10-15/dcfems-6001-1792110002.m4a</x:v>
      </x:c>
      <x:c r="R321" s="19" t="str">
        <x:v>https://afpd-accountability.com/police-radio/?date=2026-10-15</x:v>
      </x:c>
      <x:c r="S321" s="13" t="n">
        <x:v>5</x:v>
      </x:c>
    </x:row>
    <x:row r="322" ht="60" customHeight="1">
      <x:c r="A322" s="13" t="str">
        <x:v>E315</x:v>
      </x:c>
      <x:c r="B322" s="13" t="str">
        <x:v>Hawkins</x:v>
      </x:c>
      <x:c r="C322" s="14" t="n">
        <x:v>46310</x:v>
      </x:c>
      <x:c r="D322" s="13" t="n">
        <x:v>113</x:v>
      </x:c>
      <x:c r="E322" s="15" t="n">
        <x:v>0.7781134259259259</x:v>
      </x:c>
      <x:c r="F322" s="16" t="str">
        <x:v>14590123</x:v>
      </x:c>
      <x:c r="G322" s="13" t="n">
        <x:v>114</x:v>
      </x:c>
      <x:c r="H322" s="15" t="n">
        <x:v>0.7782060185185186</x:v>
      </x:c>
      <x:c r="I322" s="17" t="n">
        <x:f>ROUND((H322-E322)*86400,0)</x:f>
        <x:v>8</x:v>
      </x:c>
      <x:c r="J322" s="16" t="str">
        <x:v>14590107</x:v>
      </x:c>
      <x:c r="K322" s="13" t="str">
        <x:v>Hawkins, will you go to the other RP? I'm gonna go to where Mitch is.</x:v>
      </x:c>
      <x:c r="L322" s="13" t="str">
        <x:v>Yeah.</x:v>
      </x:c>
      <x:c r="M322" s="13" t="str">
        <x:v>Transcript association</x:v>
      </x:c>
      <x:c r="N322" s="13" t="str"/>
      <x:c r="O322" s="18" t="str">
        <x:v>Not reviewed</x:v>
      </x:c>
      <x:c r="P322" s="19" t="str">
        <x:v>https://afpd-accountability.com/records/openmhz/openmhz-afpd-car-to-car-2026-10-15/dcfems-6001-1792111229.m4a</x:v>
      </x:c>
      <x:c r="Q322" s="19" t="str">
        <x:v>https://afpd-accountability.com/records/openmhz/openmhz-afpd-car-to-car-2026-10-15/dcfems-6001-1792111237.m4a</x:v>
      </x:c>
      <x:c r="R322" s="19" t="str">
        <x:v>https://afpd-accountability.com/police-radio/?date=2026-10-15</x:v>
      </x:c>
      <x:c r="S322" s="13" t="n">
        <x:v>8</x:v>
      </x:c>
    </x:row>
    <x:row r="323" ht="60" customHeight="1">
      <x:c r="A323" s="13" t="str">
        <x:v>E316</x:v>
      </x:c>
      <x:c r="B323" s="13" t="str">
        <x:v>Mitch</x:v>
      </x:c>
      <x:c r="C323" s="14" t="n">
        <x:v>46310</x:v>
      </x:c>
      <x:c r="D323" s="13" t="n">
        <x:v>121</x:v>
      </x:c>
      <x:c r="E323" s="15" t="n">
        <x:v>0.787337962962963</x:v>
      </x:c>
      <x:c r="F323" s="16" t="str">
        <x:v>14590123</x:v>
      </x:c>
      <x:c r="G323" s="13" t="n">
        <x:v>122</x:v>
      </x:c>
      <x:c r="H323" s="15" t="n">
        <x:v>0.7873842592592593</x:v>
      </x:c>
      <x:c r="I323" s="17" t="n">
        <x:f>ROUND((H323-E323)*86400,0)</x:f>
        <x:v>4</x:v>
      </x:c>
      <x:c r="J323" s="16" t="str">
        <x:v>14590036</x:v>
      </x:c>
      <x:c r="K323" s="13" t="str">
        <x:v>Mitch, are you on here?</x:v>
      </x:c>
      <x:c r="L323" s="13" t="str">
        <x:v>Yeah.</x:v>
      </x:c>
      <x:c r="M323" s="13" t="str">
        <x:v>Transcript association</x:v>
      </x:c>
      <x:c r="N323" s="13" t="str">
        <x:v>14590036 also answers Hawkins. Keep 14590344 separate from 14590036 pending audio and assignment confirmation.</x:v>
      </x:c>
      <x:c r="O323" s="18" t="str">
        <x:v>Not reviewed</x:v>
      </x:c>
      <x:c r="P323" s="19" t="str">
        <x:v>https://afpd-accountability.com/records/openmhz/openmhz-afpd-car-to-car-2026-10-15/dcfems-6001-1792112026.m4a</x:v>
      </x:c>
      <x:c r="Q323" s="19" t="str">
        <x:v>https://afpd-accountability.com/records/openmhz/openmhz-afpd-car-to-car-2026-10-15/dcfems-6001-1792112030.m4a</x:v>
      </x:c>
      <x:c r="R323" s="19" t="str">
        <x:v>https://afpd-accountability.com/police-radio/?date=2026-10-15</x:v>
      </x:c>
      <x:c r="S323" s="13" t="n">
        <x:v>4</x:v>
      </x:c>
    </x:row>
    <x:row r="324" ht="60" customHeight="1">
      <x:c r="A324" s="13" t="str">
        <x:v>E317</x:v>
      </x:c>
      <x:c r="B324" s="13" t="str">
        <x:v>Hawkins</x:v>
      </x:c>
      <x:c r="C324" s="14" t="n">
        <x:v>46310</x:v>
      </x:c>
      <x:c r="D324" s="13" t="n">
        <x:v>128</x:v>
      </x:c>
      <x:c r="E324" s="15" t="n">
        <x:v>0.8028356481481481</x:v>
      </x:c>
      <x:c r="F324" s="16" t="str">
        <x:v>14590044</x:v>
      </x:c>
      <x:c r="G324" s="13" t="n">
        <x:v>129</x:v>
      </x:c>
      <x:c r="H324" s="15" t="n">
        <x:v>0.8028935185185185</x:v>
      </x:c>
      <x:c r="I324" s="17" t="n">
        <x:f>ROUND((H324-E324)*86400,0)</x:f>
        <x:v>5</x:v>
      </x:c>
      <x:c r="J324" s="16" t="str">
        <x:v>14590036</x:v>
      </x:c>
      <x:c r="K324" s="13" t="str">
        <x:v>[Hawkins?], [unclear question].</x:v>
      </x:c>
      <x:c r="L324" s="13" t="str">
        <x:v>[Unclear short reply; context-pass wording is unreliable.]</x:v>
      </x:c>
      <x:c r="M324" s="13" t="str">
        <x:v>Conflicting names on this ID</x:v>
      </x:c>
      <x:c r="N324" s="13" t="str">
        <x:v>14590036 also answers hails to Mitch. Keep this as an exchange-level association.</x:v>
      </x:c>
      <x:c r="O324" s="18" t="str">
        <x:v>Not reviewed</x:v>
      </x:c>
      <x:c r="P324" s="19" t="str">
        <x:v>https://afpd-accountability.com/records/openmhz/openmhz-afpd-car-to-car-2026-10-15/dcfems-6001-1792113365.m4a</x:v>
      </x:c>
      <x:c r="Q324" s="19" t="str">
        <x:v>https://afpd-accountability.com/records/openmhz/openmhz-afpd-car-to-car-2026-10-15/dcfems-6001-1792113370.m4a</x:v>
      </x:c>
      <x:c r="R324" s="19" t="str">
        <x:v>https://afpd-accountability.com/police-radio/?date=2026-10-15</x:v>
      </x:c>
      <x:c r="S324" s="13" t="n">
        <x:v>5</x:v>
      </x:c>
    </x:row>
    <x:row r="325" ht="60" customHeight="1">
      <x:c r="A325" s="13" t="str">
        <x:v>E318</x:v>
      </x:c>
      <x:c r="B325" s="13" t="str">
        <x:v>Mitch</x:v>
      </x:c>
      <x:c r="C325" s="14" t="n">
        <x:v>46311</x:v>
      </x:c>
      <x:c r="D325" s="13" t="n">
        <x:v>17</x:v>
      </x:c>
      <x:c r="E325" s="15" t="n">
        <x:v>0.07256944444444445</x:v>
      </x:c>
      <x:c r="F325" s="16" t="str">
        <x:v>14590036</x:v>
      </x:c>
      <x:c r="G325" s="13" t="n">
        <x:v>18</x:v>
      </x:c>
      <x:c r="H325" s="15" t="n">
        <x:v>0.0726736111111111</x:v>
      </x:c>
      <x:c r="I325" s="17" t="n">
        <x:f>ROUND((H325-E325)*86400,0)</x:f>
        <x:v>9</x:v>
      </x:c>
      <x:c r="J325" s="16" t="str">
        <x:v>14590344</x:v>
      </x:c>
      <x:c r="K325" s="13" t="str">
        <x:v>Hey, [Mitch?], [wording unclear: 'these juvenile problems don't typically do cases']. Do you want me to pull [them?] for this or no?</x:v>
      </x:c>
      <x:c r="L325" s="13" t="str">
        <x:v>Ah, whatever you want, I don't mind.</x:v>
      </x:c>
      <x:c r="M325" s="13" t="str">
        <x:v>Transcript association</x:v>
      </x:c>
      <x:c r="N325" s="13" t="str">
        <x:v>14590036 also answers Hawkins. Keep 14590344 separate from 14590036 pending audio and assignment confirmation.</x:v>
      </x:c>
      <x:c r="O325" s="18" t="str">
        <x:v>Not reviewed</x:v>
      </x:c>
      <x:c r="P325" s="19" t="str">
        <x:v>https://afpd-accountability.com/records/openmhz/openmhz-afpd-car-to-car-2026-10-16/dcfems-6001-1792136670.m4a</x:v>
      </x:c>
      <x:c r="Q325" s="19" t="str">
        <x:v>https://afpd-accountability.com/records/openmhz/openmhz-afpd-car-to-car-2026-10-16/dcfems-6001-1792136679.m4a</x:v>
      </x:c>
      <x:c r="R325" s="19" t="str">
        <x:v>https://afpd-accountability.com/police-radio/?date=2026-10-16</x:v>
      </x:c>
      <x:c r="S325" s="13" t="n">
        <x:v>9</x:v>
      </x:c>
    </x:row>
    <x:row r="326" ht="60" customHeight="1">
      <x:c r="A326" s="13" t="str">
        <x:v>E319</x:v>
      </x:c>
      <x:c r="B326" s="13" t="str">
        <x:v>Mitch</x:v>
      </x:c>
      <x:c r="C326" s="14" t="n">
        <x:v>46311</x:v>
      </x:c>
      <x:c r="D326" s="13" t="n">
        <x:v>38</x:v>
      </x:c>
      <x:c r="E326" s="15" t="n">
        <x:v>0.08665509259259259</x:v>
      </x:c>
      <x:c r="F326" s="16" t="str">
        <x:v>14590107</x:v>
      </x:c>
      <x:c r="G326" s="13" t="n">
        <x:v>39</x:v>
      </x:c>
      <x:c r="H326" s="15" t="n">
        <x:v>0.0867824074074074</x:v>
      </x:c>
      <x:c r="I326" s="17" t="n">
        <x:f>ROUND((H326-E326)*86400,0)</x:f>
        <x:v>11</x:v>
      </x:c>
      <x:c r="J326" s="16" t="str">
        <x:v>14590344</x:v>
      </x:c>
      <x:c r="K326" s="13" t="str">
        <x:v>[Mitch?], did you recognize who that was that came up?</x:v>
      </x:c>
      <x:c r="L326" s="13" t="str">
        <x:v>No, I couldn't see through the darkness.</x:v>
      </x:c>
      <x:c r="M326" s="13" t="str">
        <x:v>Transcript association</x:v>
      </x:c>
      <x:c r="N326" s="13" t="str">
        <x:v>14590036 also answers Hawkins. Keep 14590344 separate from 14590036 pending audio and assignment confirmation.</x:v>
      </x:c>
      <x:c r="O326" s="18" t="str">
        <x:v>Not reviewed</x:v>
      </x:c>
      <x:c r="P326" s="19" t="str">
        <x:v>https://afpd-accountability.com/records/openmhz/openmhz-afpd-car-to-car-2026-10-16/dcfems-6001-1792137887.m4a</x:v>
      </x:c>
      <x:c r="Q326" s="19" t="str">
        <x:v>https://afpd-accountability.com/records/openmhz/openmhz-afpd-car-to-car-2026-10-16/dcfems-6001-1792137898.m4a</x:v>
      </x:c>
      <x:c r="R326" s="19" t="str">
        <x:v>https://afpd-accountability.com/police-radio/?date=2026-10-16</x:v>
      </x:c>
      <x:c r="S326" s="13" t="n">
        <x:v>11</x:v>
      </x:c>
    </x:row>
    <x:row r="327" ht="60" customHeight="1">
      <x:c r="A327" s="13" t="str">
        <x:v>E320</x:v>
      </x:c>
      <x:c r="B327" s="13" t="str">
        <x:v>Hawkins</x:v>
      </x:c>
      <x:c r="C327" s="14" t="n">
        <x:v>46311</x:v>
      </x:c>
      <x:c r="D327" s="13" t="n">
        <x:v>51</x:v>
      </x:c>
      <x:c r="E327" s="15" t="n">
        <x:v>0.08840277777777777</x:v>
      </x:c>
      <x:c r="F327" s="16" t="str">
        <x:v>14590344</x:v>
      </x:c>
      <x:c r="G327" s="13" t="n">
        <x:v>52</x:v>
      </x:c>
      <x:c r="H327" s="15" t="n">
        <x:v>0.08855324074074074</x:v>
      </x:c>
      <x:c r="I327" s="17" t="n">
        <x:f>ROUND((H327-E327)*86400,0)</x:f>
        <x:v>13</x:v>
      </x:c>
      <x:c r="J327" s="16" t="str">
        <x:v>14590107</x:v>
      </x:c>
      <x:c r="K327" s="13" t="str">
        <x:v>Do you know what? I'm sorry, this randomly came to me. [Hawkins?], do you know what happened to the dude that shot his gun off over there by the [Seven Seas?]? Have you followed that at all?</x:v>
      </x:c>
      <x:c r="L327" s="13" t="str">
        <x:v>Actually, I just got a subpoena for [her?] the other day. I think [she's / he's] going to trial for it.</x:v>
      </x:c>
      <x:c r="M327" s="13" t="str">
        <x:v>Transcript association</x:v>
      </x:c>
      <x:c r="N327" s="13" t="str"/>
      <x:c r="O327" s="18" t="str">
        <x:v>Not reviewed</x:v>
      </x:c>
      <x:c r="P327" s="19" t="str">
        <x:v>https://afpd-accountability.com/records/openmhz/openmhz-afpd-car-to-car-2026-10-16/dcfems-6001-1792138038.m4a</x:v>
      </x:c>
      <x:c r="Q327" s="19" t="str">
        <x:v>https://afpd-accountability.com/records/openmhz/openmhz-afpd-car-to-car-2026-10-16/dcfems-6001-1792138051.m4a</x:v>
      </x:c>
      <x:c r="R327" s="19" t="str">
        <x:v>https://afpd-accountability.com/police-radio/?date=2026-10-16</x:v>
      </x:c>
      <x:c r="S327" s="13" t="n">
        <x:v>13</x:v>
      </x:c>
    </x:row>
    <x:row r="328" ht="60" customHeight="1">
      <x:c r="A328" s="13" t="str">
        <x:v>E321</x:v>
      </x:c>
      <x:c r="B328" s="13" t="str">
        <x:v>Richardson / Cole</x:v>
      </x:c>
      <x:c r="C328" s="14" t="n">
        <x:v>46311</x:v>
      </x:c>
      <x:c r="D328" s="13" t="n">
        <x:v>57</x:v>
      </x:c>
      <x:c r="E328" s="15" t="n">
        <x:v>0.08936342592592593</x:v>
      </x:c>
      <x:c r="F328" s="16" t="str">
        <x:v>14590107</x:v>
      </x:c>
      <x:c r="G328" s="13" t="n">
        <x:v>58</x:v>
      </x:c>
      <x:c r="H328" s="15" t="n">
        <x:v>0.08945601851851852</x:v>
      </x:c>
      <x:c r="I328" s="17" t="n">
        <x:f>ROUND((H328-E328)*86400,0)</x:f>
        <x:v>8</x:v>
      </x:c>
      <x:c r="J328" s="16" t="str">
        <x:v>14590044</x:v>
      </x:c>
      <x:c r="K328" s="13" t="str">
        <x:v>Hey, [Richardson?], [I have / we're just going to have] another Monster if you want.</x:v>
      </x:c>
      <x:c r="L328" s="13" t="str">
        <x:v>Yeah, I'll take one.</x:v>
      </x:c>
      <x:c r="M328" s="13" t="str">
        <x:v>Transcript association</x:v>
      </x:c>
      <x:c r="N328" s="13" t="str"/>
      <x:c r="O328" s="18" t="str">
        <x:v>Not reviewed</x:v>
      </x:c>
      <x:c r="P328" s="19" t="str">
        <x:v>https://afpd-accountability.com/records/openmhz/openmhz-afpd-car-to-car-2026-10-16/dcfems-6001-1792138121.m4a</x:v>
      </x:c>
      <x:c r="Q328" s="19" t="str">
        <x:v>https://afpd-accountability.com/records/openmhz/openmhz-afpd-car-to-car-2026-10-16/dcfems-6001-1792138129.m4a</x:v>
      </x:c>
      <x:c r="R328" s="19" t="str">
        <x:v>https://afpd-accountability.com/police-radio/?date=2026-10-16</x:v>
      </x:c>
      <x:c r="S328" s="13" t="n">
        <x:v>8</x:v>
      </x:c>
    </x:row>
    <x:row r="329" ht="60" customHeight="1">
      <x:c r="A329" s="13" t="str">
        <x:v>E322</x:v>
      </x:c>
      <x:c r="B329" s="13" t="str">
        <x:v>Gonzalez / David</x:v>
      </x:c>
      <x:c r="C329" s="14" t="n">
        <x:v>46311</x:v>
      </x:c>
      <x:c r="D329" s="13" t="n">
        <x:v>155</x:v>
      </x:c>
      <x:c r="E329" s="15" t="n">
        <x:v>0.9937847222222222</x:v>
      </x:c>
      <x:c r="F329" s="16" t="str">
        <x:v>14590314</x:v>
      </x:c>
      <x:c r="G329" s="13" t="n">
        <x:v>156</x:v>
      </x:c>
      <x:c r="H329" s="15" t="n">
        <x:v>0.9939467592592592</x:v>
      </x:c>
      <x:c r="I329" s="17" t="n">
        <x:f>ROUND((H329-E329)*86400,0)</x:f>
        <x:v>14</x:v>
      </x:c>
      <x:c r="J329" s="16" t="str">
        <x:v>14580152</x:v>
      </x:c>
      <x:c r="K329" s="13" t="str">
        <x:v>Do they have any other info on that, [David?] Because it doesn't sound like it's really anything we need to care about.</x:v>
      </x:c>
      <x:c r="L329" s="13" t="str">
        <x:v>Or if you want to [enter a zone / answer his phone], [I'm in the same boat?], it seems like it's nonsense.</x:v>
      </x:c>
      <x:c r="M329" s="13" t="str">
        <x:v>Transcript association</x:v>
      </x:c>
      <x:c r="N329" s="13" t="str"/>
      <x:c r="O329" s="18" t="str">
        <x:v>Not reviewed</x:v>
      </x:c>
      <x:c r="P329" s="19" t="str">
        <x:v>https://afpd-accountability.com/records/openmhz/openmhz-afpd-car-to-car-2026-10-16/dcfems-6001-1792216263.m4a</x:v>
      </x:c>
      <x:c r="Q329" s="19" t="str">
        <x:v>https://afpd-accountability.com/records/openmhz/openmhz-afpd-car-to-car-2026-10-16/dcfems-6001-1792216277.m4a</x:v>
      </x:c>
      <x:c r="R329" s="19" t="str">
        <x:v>https://afpd-accountability.com/police-radio/?date=2026-10-16</x:v>
      </x:c>
      <x:c r="S329" s="13" t="n">
        <x:v>14</x:v>
      </x:c>
    </x:row>
    <x:row r="330" ht="60" customHeight="1">
      <x:c r="A330" s="13" t="str">
        <x:v>E323</x:v>
      </x:c>
      <x:c r="B330" s="13" t="str">
        <x:v>McKay</x:v>
      </x:c>
      <x:c r="C330" s="14" t="n">
        <x:v>46312</x:v>
      </x:c>
      <x:c r="D330" s="13" t="n">
        <x:v>41</x:v>
      </x:c>
      <x:c r="E330" s="15" t="n">
        <x:v>0.4518287037037037</x:v>
      </x:c>
      <x:c r="F330" s="16" t="str">
        <x:v>14590117</x:v>
      </x:c>
      <x:c r="G330" s="13" t="n">
        <x:v>42</x:v>
      </x:c>
      <x:c r="H330" s="15" t="n">
        <x:v>0.45189814814814816</x:v>
      </x:c>
      <x:c r="I330" s="17" t="n">
        <x:f>ROUND((H330-E330)*86400,0)</x:f>
        <x:v>6</x:v>
      </x:c>
      <x:c r="J330" s="16" t="str">
        <x:v>14590102</x:v>
      </x:c>
      <x:c r="K330" s="13" t="str">
        <x:v>[McKay?], you on here?</x:v>
      </x:c>
      <x:c r="L330" s="13" t="str">
        <x:v>Yeah, do you hear me?</x:v>
      </x:c>
      <x:c r="M330" s="13" t="str">
        <x:v>Transcript association</x:v>
      </x:c>
      <x:c r="N330" s="13" t="str"/>
      <x:c r="O330" s="18" t="str">
        <x:v>Not reviewed</x:v>
      </x:c>
      <x:c r="P330" s="19" t="str">
        <x:v>https://afpd-accountability.com/records/openmhz/openmhz-afpd-car-to-car-2026-10-17/dcfems-6001-1792255838.m4a</x:v>
      </x:c>
      <x:c r="Q330" s="19" t="str">
        <x:v>https://afpd-accountability.com/records/openmhz/openmhz-afpd-car-to-car-2026-10-17/dcfems-6001-1792255844.m4a</x:v>
      </x:c>
      <x:c r="R330" s="19" t="str">
        <x:v>https://afpd-accountability.com/police-radio/?date=2026-10-17</x:v>
      </x:c>
      <x:c r="S330" s="13" t="n">
        <x:v>6</x:v>
      </x:c>
    </x:row>
    <x:row r="331" ht="60" customHeight="1">
      <x:c r="A331" s="13" t="str">
        <x:v>E324</x:v>
      </x:c>
      <x:c r="B331" s="13" t="str">
        <x:v>Sam</x:v>
      </x:c>
      <x:c r="C331" s="14" t="n">
        <x:v>46312</x:v>
      </x:c>
      <x:c r="D331" s="13" t="n">
        <x:v>48</x:v>
      </x:c>
      <x:c r="E331" s="15" t="n">
        <x:v>0.45233796296296297</x:v>
      </x:c>
      <x:c r="F331" s="16" t="str">
        <x:v>14590117</x:v>
      </x:c>
      <x:c r="G331" s="13" t="n">
        <x:v>49</x:v>
      </x:c>
      <x:c r="H331" s="15" t="n">
        <x:v>0.4524074074074074</x:v>
      </x:c>
      <x:c r="I331" s="17" t="n">
        <x:f>ROUND((H331-E331)*86400,0)</x:f>
        <x:v>6</x:v>
      </x:c>
      <x:c r="J331" s="16" t="str">
        <x:v>14590221</x:v>
      </x:c>
      <x:c r="K331" s="13" t="str">
        <x:v>Okay, I don't know if [Sam?] is coming.</x:v>
      </x:c>
      <x:c r="L331" s="13" t="str">
        <x:v>Sorry, [your / the] traffic was crazy.</x:v>
      </x:c>
      <x:c r="M331" s="13" t="str">
        <x:v>Transcript association</x:v>
      </x:c>
      <x:c r="N331" s="13" t="str">
        <x:v>Several officers use Sam or Samuel. Do not combine these IDs into one officer identity.</x:v>
      </x:c>
      <x:c r="O331" s="18" t="str">
        <x:v>Not reviewed</x:v>
      </x:c>
      <x:c r="P331" s="19" t="str">
        <x:v>https://afpd-accountability.com/records/openmhz/openmhz-afpd-car-to-car-2026-10-17/dcfems-6001-1792255882.m4a</x:v>
      </x:c>
      <x:c r="Q331" s="19" t="str">
        <x:v>https://afpd-accountability.com/records/openmhz/openmhz-afpd-car-to-car-2026-10-17/dcfems-6001-1792255888.m4a</x:v>
      </x:c>
      <x:c r="R331" s="19" t="str">
        <x:v>https://afpd-accountability.com/police-radio/?date=2026-10-17</x:v>
      </x:c>
      <x:c r="S331" s="13" t="n">
        <x:v>6</x:v>
      </x:c>
    </x:row>
    <x:row r="332" ht="60" customHeight="1">
      <x:c r="A332" s="13" t="str">
        <x:v>E325</x:v>
      </x:c>
      <x:c r="B332" s="13" t="str">
        <x:v>McKay</x:v>
      </x:c>
      <x:c r="C332" s="14" t="n">
        <x:v>46312</x:v>
      </x:c>
      <x:c r="D332" s="13" t="n">
        <x:v>51</x:v>
      </x:c>
      <x:c r="E332" s="15" t="n">
        <x:v>0.46922453703703704</x:v>
      </x:c>
      <x:c r="F332" s="16" t="str">
        <x:v>14590066</x:v>
      </x:c>
      <x:c r="G332" s="13" t="n">
        <x:v>52</x:v>
      </x:c>
      <x:c r="H332" s="15" t="n">
        <x:v>0.46930555555555553</x:v>
      </x:c>
      <x:c r="I332" s="17" t="n">
        <x:f>ROUND((H332-E332)*86400,0)</x:f>
        <x:v>7</x:v>
      </x:c>
      <x:c r="J332" s="16" t="str">
        <x:v>14590102</x:v>
      </x:c>
      <x:c r="K332" s="13" t="str">
        <x:v>Hey, [McKay?], this could be me and you on my motorcycle, [ending unclear].</x:v>
      </x:c>
      <x:c r="L332" s="13" t="str">
        <x:v>All right, I'm down.</x:v>
      </x:c>
      <x:c r="M332" s="13" t="str">
        <x:v>Transcript association</x:v>
      </x:c>
      <x:c r="N332" s="13" t="str"/>
      <x:c r="O332" s="18" t="str">
        <x:v>Not reviewed</x:v>
      </x:c>
      <x:c r="P332" s="19" t="str">
        <x:v>https://afpd-accountability.com/records/openmhz/openmhz-afpd-car-to-car-2026-10-17/dcfems-6001-1792257341.m4a</x:v>
      </x:c>
      <x:c r="Q332" s="19" t="str">
        <x:v>https://afpd-accountability.com/records/openmhz/openmhz-afpd-car-to-car-2026-10-17/dcfems-6001-1792257348.m4a</x:v>
      </x:c>
      <x:c r="R332" s="19" t="str">
        <x:v>https://afpd-accountability.com/police-radio/?date=2026-10-17</x:v>
      </x:c>
      <x:c r="S332" s="13" t="n">
        <x:v>7</x:v>
      </x:c>
    </x:row>
    <x:row r="333" ht="60" customHeight="1">
      <x:c r="A333" s="13" t="str">
        <x:v>E326</x:v>
      </x:c>
      <x:c r="B333" s="13" t="str">
        <x:v>Luke</x:v>
      </x:c>
      <x:c r="C333" s="14" t="n">
        <x:v>46313</x:v>
      </x:c>
      <x:c r="D333" s="13" t="n">
        <x:v>36</x:v>
      </x:c>
      <x:c r="E333" s="15" t="n">
        <x:v>0.47519675925925925</x:v>
      </x:c>
      <x:c r="F333" s="16" t="str">
        <x:v>14590079</x:v>
      </x:c>
      <x:c r="G333" s="13" t="n">
        <x:v>37</x:v>
      </x:c>
      <x:c r="H333" s="15" t="n">
        <x:v>0.47530092592592593</x:v>
      </x:c>
      <x:c r="I333" s="17" t="n">
        <x:f>ROUND((H333-E333)*86400,0)</x:f>
        <x:v>9</x:v>
      </x:c>
      <x:c r="J333" s="16" t="str">
        <x:v>14590320</x:v>
      </x:c>
      <x:c r="K333" s="13" t="str">
        <x:v>[Luke?], just [one?], class B, [29?].</x:v>
      </x:c>
      <x:c r="L333" s="13" t="str">
        <x:v>Copy.</x:v>
      </x:c>
      <x:c r="M333" s="13" t="str">
        <x:v>Transcript association</x:v>
      </x:c>
      <x:c r="N333" s="13" t="str"/>
      <x:c r="O333" s="18" t="str">
        <x:v>Not reviewed</x:v>
      </x:c>
      <x:c r="P333" s="19" t="str">
        <x:v>https://afpd-accountability.com/records/openmhz/openmhz-afpd-car-to-car-2026-10-18/dcfems-6001-1792344257.m4a</x:v>
      </x:c>
      <x:c r="Q333" s="19" t="str">
        <x:v>https://afpd-accountability.com/records/openmhz/openmhz-afpd-car-to-car-2026-10-18/dcfems-6001-1792344266.m4a</x:v>
      </x:c>
      <x:c r="R333" s="19" t="str">
        <x:v>https://afpd-accountability.com/police-radio/?date=2026-10-18</x:v>
      </x:c>
      <x:c r="S333" s="13" t="n">
        <x:v>9</x:v>
      </x:c>
    </x:row>
    <x:row r="334" ht="60" customHeight="1">
      <x:c r="A334" s="13" t="str">
        <x:v>E327</x:v>
      </x:c>
      <x:c r="B334" s="13" t="str">
        <x:v>Greg</x:v>
      </x:c>
      <x:c r="C334" s="14" t="n">
        <x:v>46314</x:v>
      </x:c>
      <x:c r="D334" s="13" t="n">
        <x:v>65</x:v>
      </x:c>
      <x:c r="E334" s="15" t="n">
        <x:v>0.5966435185185185</x:v>
      </x:c>
      <x:c r="F334" s="16" t="str">
        <x:v>14590225</x:v>
      </x:c>
      <x:c r="G334" s="13" t="n">
        <x:v>66</x:v>
      </x:c>
      <x:c r="H334" s="15" t="n">
        <x:v>0.5967013888888889</x:v>
      </x:c>
      <x:c r="I334" s="17" t="n">
        <x:f>ROUND((H334-E334)*86400,0)</x:f>
        <x:v>5</x:v>
      </x:c>
      <x:c r="J334" s="16" t="str">
        <x:v>14590098</x:v>
      </x:c>
      <x:c r="K334" s="13" t="str">
        <x:v>Hey [Greg?].</x:v>
      </x:c>
      <x:c r="L334" s="13" t="str">
        <x:v>[Yes / yes, sir.]</x:v>
      </x:c>
      <x:c r="M334" s="13" t="str">
        <x:v>Transcript association</x:v>
      </x:c>
      <x:c r="N334" s="13" t="str"/>
      <x:c r="O334" s="18" t="str">
        <x:v>Not reviewed</x:v>
      </x:c>
      <x:c r="P334" s="19" t="str">
        <x:v>https://afpd-accountability.com/records/openmhz/openmhz-afpd-car-to-car-2026-10-19/dcfems-6001-1792441150.m4a</x:v>
      </x:c>
      <x:c r="Q334" s="19" t="str">
        <x:v>https://afpd-accountability.com/records/openmhz/openmhz-afpd-car-to-car-2026-10-19/dcfems-6001-1792441155.m4a</x:v>
      </x:c>
      <x:c r="R334" s="19" t="str">
        <x:v>https://afpd-accountability.com/police-radio/?date=2026-10-19</x:v>
      </x:c>
      <x:c r="S334" s="13" t="n">
        <x:v>5</x:v>
      </x:c>
    </x:row>
    <x:row r="335" ht="60" customHeight="1">
      <x:c r="A335" s="13" t="str">
        <x:v>E328</x:v>
      </x:c>
      <x:c r="B335" s="13" t="str">
        <x:v>Jake</x:v>
      </x:c>
      <x:c r="C335" s="14" t="n">
        <x:v>46314</x:v>
      </x:c>
      <x:c r="D335" s="13" t="n">
        <x:v>69</x:v>
      </x:c>
      <x:c r="E335" s="15" t="n">
        <x:v>0.6134722222222222</x:v>
      </x:c>
      <x:c r="F335" s="16" t="str">
        <x:v>14590225</x:v>
      </x:c>
      <x:c r="G335" s="13" t="n">
        <x:v>71</x:v>
      </x:c>
      <x:c r="H335" s="15" t="n">
        <x:v>0.6136574074074074</x:v>
      </x:c>
      <x:c r="I335" s="17" t="n">
        <x:f>ROUND((H335-E335)*86400,0)</x:f>
        <x:v>16</x:v>
      </x:c>
      <x:c r="J335" s="16" t="str">
        <x:v>14590118</x:v>
      </x:c>
      <x:c r="K335" s="13" t="str">
        <x:v>[Jake?], are you out?</x:v>
      </x:c>
      <x:c r="L335" s="13" t="str">
        <x:v>Please.</x:v>
      </x:c>
      <x:c r="M335" s="13" t="str">
        <x:v>Transcript association</x:v>
      </x:c>
      <x:c r="N335" s="13" t="str">
        <x:v>More than one officer on the roster uses Jake or Jacob. These rows preserve the spoken first name only.</x:v>
      </x:c>
      <x:c r="O335" s="18" t="str">
        <x:v>Not reviewed</x:v>
      </x:c>
      <x:c r="P335" s="19" t="str">
        <x:v>https://afpd-accountability.com/records/openmhz/openmhz-afpd-car-to-car-2026-10-19/dcfems-6001-1792442604.m4a</x:v>
      </x:c>
      <x:c r="Q335" s="19" t="str">
        <x:v>https://afpd-accountability.com/records/openmhz/openmhz-afpd-car-to-car-2026-10-19/dcfems-6001-1792442620.m4a</x:v>
      </x:c>
      <x:c r="R335" s="19" t="str">
        <x:v>https://afpd-accountability.com/police-radio/?date=2026-10-19</x:v>
      </x:c>
      <x:c r="S335" s="13" t="n">
        <x:v>16</x:v>
      </x:c>
    </x:row>
    <x:row r="336" ht="60" customHeight="1">
      <x:c r="A336" s="13" t="str">
        <x:v>E329</x:v>
      </x:c>
      <x:c r="B336" s="13" t="str">
        <x:v>Heaton / Colby</x:v>
      </x:c>
      <x:c r="C336" s="14" t="n">
        <x:v>46315</x:v>
      </x:c>
      <x:c r="D336" s="13" t="n">
        <x:v>68</x:v>
      </x:c>
      <x:c r="E336" s="15" t="n">
        <x:v>0.49299768518518516</x:v>
      </x:c>
      <x:c r="F336" s="16" t="str">
        <x:v>14590165</x:v>
      </x:c>
      <x:c r="G336" s="13" t="n">
        <x:v>69</x:v>
      </x:c>
      <x:c r="H336" s="15" t="n">
        <x:v>0.4930439814814815</x:v>
      </x:c>
      <x:c r="I336" s="17" t="n">
        <x:f>ROUND((H336-E336)*86400,0)</x:f>
        <x:v>4</x:v>
      </x:c>
      <x:c r="J336" s="16" t="str">
        <x:v>14590100</x:v>
      </x:c>
      <x:c r="K336" s="13" t="str">
        <x:v>Hey, Heaton?</x:v>
      </x:c>
      <x:c r="L336" s="13" t="str">
        <x:v>Yeah, yeah.</x:v>
      </x:c>
      <x:c r="M336" s="13" t="str">
        <x:v>Transcript association</x:v>
      </x:c>
      <x:c r="N336" s="13" t="str">
        <x:v>Includes both Heaton and Colby hails. 14590100 also answers Sam; 14590091 answers other names. Officer/crew assignment is unresolved.</x:v>
      </x:c>
      <x:c r="O336" s="18" t="str">
        <x:v>Not reviewed</x:v>
      </x:c>
      <x:c r="P336" s="19" t="str">
        <x:v>https://afpd-accountability.com/records/openmhz/openmhz-afpd-car-to-car-2026-10-20/dcfems-6001-1792518595.m4a</x:v>
      </x:c>
      <x:c r="Q336" s="19" t="str">
        <x:v>https://afpd-accountability.com/records/openmhz/openmhz-afpd-car-to-car-2026-10-20/dcfems-6001-1792518599.m4a</x:v>
      </x:c>
      <x:c r="R336" s="19" t="str">
        <x:v>https://afpd-accountability.com/police-radio/?date=2026-10-20</x:v>
      </x:c>
      <x:c r="S336" s="13" t="n">
        <x:v>4</x:v>
      </x:c>
    </x:row>
    <x:row r="337" ht="60" customHeight="1">
      <x:c r="A337" s="13" t="str">
        <x:v>E330</x:v>
      </x:c>
      <x:c r="B337" s="13" t="str">
        <x:v>Mason</x:v>
      </x:c>
      <x:c r="C337" s="14" t="n">
        <x:v>46315</x:v>
      </x:c>
      <x:c r="D337" s="13" t="n">
        <x:v>74</x:v>
      </x:c>
      <x:c r="E337" s="15" t="n">
        <x:v>0.5119560185185185</x:v>
      </x:c>
      <x:c r="F337" s="16" t="str">
        <x:v>14590225</x:v>
      </x:c>
      <x:c r="G337" s="13" t="n">
        <x:v>75</x:v>
      </x:c>
      <x:c r="H337" s="15" t="n">
        <x:v>0.5120138888888889</x:v>
      </x:c>
      <x:c r="I337" s="17" t="n">
        <x:f>ROUND((H337-E337)*86400,0)</x:f>
        <x:v>5</x:v>
      </x:c>
      <x:c r="J337" s="16" t="str">
        <x:v>14590315</x:v>
      </x:c>
      <x:c r="K337" s="13" t="str">
        <x:v>Hey Mason.</x:v>
      </x:c>
      <x:c r="L337" s="13" t="str">
        <x:v>What's up?</x:v>
      </x:c>
      <x:c r="M337" s="13" t="str">
        <x:v>Transcript association</x:v>
      </x:c>
      <x:c r="N337" s="13" t="str"/>
      <x:c r="O337" s="18" t="str">
        <x:v>Not reviewed</x:v>
      </x:c>
      <x:c r="P337" s="19" t="str">
        <x:v>https://afpd-accountability.com/records/openmhz/openmhz-afpd-car-to-car-2026-10-20/dcfems-6001-1792520233.m4a</x:v>
      </x:c>
      <x:c r="Q337" s="19" t="str">
        <x:v>https://afpd-accountability.com/records/openmhz/openmhz-afpd-car-to-car-2026-10-20/dcfems-6001-1792520238.m4a</x:v>
      </x:c>
      <x:c r="R337" s="19" t="str">
        <x:v>https://afpd-accountability.com/police-radio/?date=2026-10-20</x:v>
      </x:c>
      <x:c r="S337" s="13" t="n">
        <x:v>5</x:v>
      </x:c>
    </x:row>
    <x:row r="338" ht="60" customHeight="1">
      <x:c r="A338" s="13" t="str">
        <x:v>E331</x:v>
      </x:c>
      <x:c r="B338" s="13" t="str">
        <x:v>Heaton / Colby</x:v>
      </x:c>
      <x:c r="C338" s="14" t="n">
        <x:v>46315</x:v>
      </x:c>
      <x:c r="D338" s="13" t="n">
        <x:v>90</x:v>
      </x:c>
      <x:c r="E338" s="15" t="n">
        <x:v>0.5961342592592592</x:v>
      </x:c>
      <x:c r="F338" s="16" t="str">
        <x:v>14590087</x:v>
      </x:c>
      <x:c r="G338" s="13" t="n">
        <x:v>91</x:v>
      </x:c>
      <x:c r="H338" s="15" t="n">
        <x:v>0.59625</x:v>
      </x:c>
      <x:c r="I338" s="17" t="n">
        <x:f>ROUND((H338-E338)*86400,0)</x:f>
        <x:v>10</x:v>
      </x:c>
      <x:c r="J338" s="16" t="str">
        <x:v>14590100</x:v>
      </x:c>
      <x:c r="K338" s="13" t="str">
        <x:v>Heaton, you want to turn your lights off?</x:v>
      </x:c>
      <x:c r="L338" s="13" t="str">
        <x:v>[Thank you / there you go.]</x:v>
      </x:c>
      <x:c r="M338" s="13" t="str">
        <x:v>Transcript association</x:v>
      </x:c>
      <x:c r="N338" s="13" t="str">
        <x:v>Includes both Heaton and Colby hails. 14590100 also answers Sam; 14590091 answers other names. Officer/crew assignment is unresolved.</x:v>
      </x:c>
      <x:c r="O338" s="18" t="str">
        <x:v>Not reviewed</x:v>
      </x:c>
      <x:c r="P338" s="19" t="str">
        <x:v>https://afpd-accountability.com/records/openmhz/openmhz-afpd-car-to-car-2026-10-20/dcfems-6001-1792527506.m4a</x:v>
      </x:c>
      <x:c r="Q338" s="19" t="str">
        <x:v>https://afpd-accountability.com/records/openmhz/openmhz-afpd-car-to-car-2026-10-20/dcfems-6001-1792527516.m4a</x:v>
      </x:c>
      <x:c r="R338" s="19" t="str">
        <x:v>https://afpd-accountability.com/police-radio/?date=2026-10-20</x:v>
      </x:c>
      <x:c r="S338" s="13" t="n">
        <x:v>10</x:v>
      </x:c>
    </x:row>
    <x:row r="339" ht="60" customHeight="1">
      <x:c r="A339" s="13" t="str">
        <x:v>E332</x:v>
      </x:c>
      <x:c r="B339" s="13" t="str">
        <x:v>Diego / Garcia</x:v>
      </x:c>
      <x:c r="C339" s="14" t="n">
        <x:v>46315</x:v>
      </x:c>
      <x:c r="D339" s="13" t="n">
        <x:v>101</x:v>
      </x:c>
      <x:c r="E339" s="15" t="n">
        <x:v>0.7362962962962963</x:v>
      </x:c>
      <x:c r="F339" s="16" t="str">
        <x:v>14580155</x:v>
      </x:c>
      <x:c r="G339" s="13" t="n">
        <x:v>102</x:v>
      </x:c>
      <x:c r="H339" s="15" t="n">
        <x:v>0.7364351851851851</x:v>
      </x:c>
      <x:c r="I339" s="17" t="n">
        <x:f>ROUND((H339-E339)*86400,0)</x:f>
        <x:v>12</x:v>
      </x:c>
      <x:c r="J339" s="16" t="str">
        <x:v>14590089</x:v>
      </x:c>
      <x:c r="K339" s="13" t="str">
        <x:v>Hey Diego, do you need one of us to take that keep-the-peace thing?</x:v>
      </x:c>
      <x:c r="L339" s="13" t="str">
        <x:v>If one of you are available, that would be great. I'd appreciate that.</x:v>
      </x:c>
      <x:c r="M339" s="13" t="str">
        <x:v>Transcript association</x:v>
      </x:c>
      <x:c r="N339" s="13" t="str"/>
      <x:c r="O339" s="18" t="str">
        <x:v>Not reviewed</x:v>
      </x:c>
      <x:c r="P339" s="19" t="str">
        <x:v>https://afpd-accountability.com/records/openmhz/openmhz-afpd-car-to-car-2026-10-20/dcfems-6001-1792539616.m4a</x:v>
      </x:c>
      <x:c r="Q339" s="19" t="str">
        <x:v>https://afpd-accountability.com/records/openmhz/openmhz-afpd-car-to-car-2026-10-20/dcfems-6001-1792539628.m4a</x:v>
      </x:c>
      <x:c r="R339" s="19" t="str">
        <x:v>https://afpd-accountability.com/police-radio/?date=2026-10-20</x:v>
      </x:c>
      <x:c r="S339" s="13" t="n">
        <x:v>12</x:v>
      </x:c>
    </x:row>
    <x:row r="340" ht="60" customHeight="1">
      <x:c r="A340" s="13" t="str">
        <x:v>E333</x:v>
      </x:c>
      <x:c r="B340" s="13" t="str">
        <x:v>Tonga</x:v>
      </x:c>
      <x:c r="C340" s="14" t="n">
        <x:v>46315</x:v>
      </x:c>
      <x:c r="D340" s="13" t="n">
        <x:v>112</x:v>
      </x:c>
      <x:c r="E340" s="15" t="n">
        <x:v>0.7700231481481481</x:v>
      </x:c>
      <x:c r="F340" s="16" t="str">
        <x:v>14590107</x:v>
      </x:c>
      <x:c r="G340" s="13" t="n">
        <x:v>113</x:v>
      </x:c>
      <x:c r="H340" s="15" t="n">
        <x:v>0.7700810185185185</x:v>
      </x:c>
      <x:c r="I340" s="17" t="n">
        <x:f>ROUND((H340-E340)*86400,0)</x:f>
        <x:v>5</x:v>
      </x:c>
      <x:c r="J340" s="16" t="str">
        <x:v>14590038</x:v>
      </x:c>
      <x:c r="K340" s="13" t="str">
        <x:v>Tonga, you want me to take that harassment for—</x:v>
      </x:c>
      <x:c r="L340" s="13" t="str">
        <x:v>Be great, thank you.</x:v>
      </x:c>
      <x:c r="M340" s="13" t="str">
        <x:v>Transcript association</x:v>
      </x:c>
      <x:c r="N340" s="13" t="str"/>
      <x:c r="O340" s="18" t="str">
        <x:v>Not reviewed</x:v>
      </x:c>
      <x:c r="P340" s="19" t="str">
        <x:v>https://afpd-accountability.com/records/openmhz/openmhz-afpd-car-to-car-2026-10-20/dcfems-6001-1792542530.m4a</x:v>
      </x:c>
      <x:c r="Q340" s="19" t="str">
        <x:v>https://afpd-accountability.com/records/openmhz/openmhz-afpd-car-to-car-2026-10-20/dcfems-6001-1792542535.m4a</x:v>
      </x:c>
      <x:c r="R340" s="19" t="str">
        <x:v>https://afpd-accountability.com/police-radio/?date=2026-10-20</x:v>
      </x:c>
      <x:c r="S340" s="13" t="n">
        <x:v>5</x:v>
      </x:c>
    </x:row>
    <x:row r="341" ht="60" customHeight="1">
      <x:c r="A341" s="13" t="str">
        <x:v>E334</x:v>
      </x:c>
      <x:c r="B341" s="13" t="str">
        <x:v>Luke</x:v>
      </x:c>
      <x:c r="C341" s="14" t="n">
        <x:v>46316</x:v>
      </x:c>
      <x:c r="D341" s="13" t="n">
        <x:v>55</x:v>
      </x:c>
      <x:c r="E341" s="15" t="n">
        <x:v>0.35215277777777776</x:v>
      </x:c>
      <x:c r="F341" s="16" t="str">
        <x:v>14590112</x:v>
      </x:c>
      <x:c r="G341" s="13" t="n">
        <x:v>56</x:v>
      </x:c>
      <x:c r="H341" s="15" t="n">
        <x:v>0.3522222222222222</x:v>
      </x:c>
      <x:c r="I341" s="17" t="n">
        <x:f>ROUND((H341-E341)*86400,0)</x:f>
        <x:v>6</x:v>
      </x:c>
      <x:c r="J341" s="16" t="str">
        <x:v>14590221</x:v>
      </x:c>
      <x:c r="K341" s="13" t="str">
        <x:v>Luke, have you been replaced yet?</x:v>
      </x:c>
      <x:c r="L341" s="13" t="str">
        <x:v>No, [unclear].</x:v>
      </x:c>
      <x:c r="M341" s="13" t="str">
        <x:v>Conflicting names on this ID</x:v>
      </x:c>
      <x:c r="N341" s="13" t="str">
        <x:v>14590221 also answers hails to Sam. This short reply does not establish that the transmitter is Luke.</x:v>
      </x:c>
      <x:c r="O341" s="18" t="str">
        <x:v>Not reviewed</x:v>
      </x:c>
      <x:c r="P341" s="19" t="str">
        <x:v>https://afpd-accountability.com/records/openmhz/openmhz-afpd-car-to-car-2026-10-21/dcfems-6001-1792592826.m4a</x:v>
      </x:c>
      <x:c r="Q341" s="19" t="str">
        <x:v>https://afpd-accountability.com/records/openmhz/openmhz-afpd-car-to-car-2026-10-21/dcfems-6001-1792592832.m4a</x:v>
      </x:c>
      <x:c r="R341" s="19" t="str">
        <x:v>https://afpd-accountability.com/police-radio/?date=2026-10-21</x:v>
      </x:c>
      <x:c r="S341" s="13" t="n">
        <x:v>6</x:v>
      </x:c>
    </x:row>
    <x:row r="342" ht="60" customHeight="1">
      <x:c r="A342" s="13" t="str">
        <x:v>E335</x:v>
      </x:c>
      <x:c r="B342" s="13" t="str">
        <x:v>McKay</x:v>
      </x:c>
      <x:c r="C342" s="14" t="n">
        <x:v>46316</x:v>
      </x:c>
      <x:c r="D342" s="13" t="n">
        <x:v>63</x:v>
      </x:c>
      <x:c r="E342" s="15" t="n">
        <x:v>0.5649537037037037</x:v>
      </x:c>
      <x:c r="F342" s="16" t="str">
        <x:v>14590067</x:v>
      </x:c>
      <x:c r="G342" s="13" t="n">
        <x:v>64</x:v>
      </x:c>
      <x:c r="H342" s="15" t="n">
        <x:v>0.5650231481481481</x:v>
      </x:c>
      <x:c r="I342" s="17" t="n">
        <x:f>ROUND((H342-E342)*86400,0)</x:f>
        <x:v>6</x:v>
      </x:c>
      <x:c r="J342" s="16" t="str">
        <x:v>14590102</x:v>
      </x:c>
      <x:c r="K342" s="13" t="str">
        <x:v>Hey, Mckay, are you available?</x:v>
      </x:c>
      <x:c r="L342" s="13" t="str">
        <x:v>[unclear reponse].</x:v>
      </x:c>
      <x:c r="M342" s="13" t="str">
        <x:v>Transcript association</x:v>
      </x:c>
      <x:c r="N342" s="13" t="str"/>
      <x:c r="O342" s="18" t="str">
        <x:v>Not reviewed</x:v>
      </x:c>
      <x:c r="P342" s="19" t="str">
        <x:v>https://afpd-accountability.com/records/openmhz/openmhz-afpd-car-to-car-2026-10-21/dcfems-6001-1792611212.m4a</x:v>
      </x:c>
      <x:c r="Q342" s="19" t="str">
        <x:v>https://afpd-accountability.com/records/openmhz/openmhz-afpd-car-to-car-2026-10-21/dcfems-6001-1792611218.m4a</x:v>
      </x:c>
      <x:c r="R342" s="19" t="str">
        <x:v>https://afpd-accountability.com/police-radio/?date=2026-10-21</x:v>
      </x:c>
      <x:c r="S342" s="13" t="n">
        <x:v>6</x:v>
      </x:c>
    </x:row>
    <x:row r="343" ht="60" customHeight="1">
      <x:c r="A343" s="13" t="str">
        <x:v>E336</x:v>
      </x:c>
      <x:c r="B343" s="13" t="str">
        <x:v>McKay</x:v>
      </x:c>
      <x:c r="C343" s="14" t="n">
        <x:v>46316</x:v>
      </x:c>
      <x:c r="D343" s="13" t="n">
        <x:v>66</x:v>
      </x:c>
      <x:c r="E343" s="15" t="n">
        <x:v>0.5883564814814815</x:v>
      </x:c>
      <x:c r="F343" s="16" t="str">
        <x:v>14590112</x:v>
      </x:c>
      <x:c r="G343" s="13" t="n">
        <x:v>67</x:v>
      </x:c>
      <x:c r="H343" s="15" t="n">
        <x:v>0.5884490740740741</x:v>
      </x:c>
      <x:c r="I343" s="17" t="n">
        <x:f>ROUND((H343-E343)*86400,0)</x:f>
        <x:v>8</x:v>
      </x:c>
      <x:c r="J343" s="16" t="str">
        <x:v>14590081</x:v>
      </x:c>
      <x:c r="K343" s="13" t="str">
        <x:v>Hey Mckay, are you swamped on KC?</x:v>
      </x:c>
      <x:c r="L343" s="13" t="str">
        <x:v>Negative, [remainder unclear].</x:v>
      </x:c>
      <x:c r="M343" s="13" t="str">
        <x:v>Transcript association</x:v>
      </x:c>
      <x:c r="N343" s="13" t="str"/>
      <x:c r="O343" s="18" t="str">
        <x:v>Not reviewed</x:v>
      </x:c>
      <x:c r="P343" s="19" t="str">
        <x:v>https://afpd-accountability.com/records/openmhz/openmhz-afpd-car-to-car-2026-10-21/dcfems-6001-1792613234.m4a</x:v>
      </x:c>
      <x:c r="Q343" s="19" t="str">
        <x:v>https://afpd-accountability.com/records/openmhz/openmhz-afpd-car-to-car-2026-10-21/dcfems-6001-1792613242.m4a</x:v>
      </x:c>
      <x:c r="R343" s="19" t="str">
        <x:v>https://afpd-accountability.com/police-radio/?date=2026-10-21</x:v>
      </x:c>
      <x:c r="S343" s="13" t="n">
        <x:v>8</x:v>
      </x:c>
    </x:row>
    <x:row r="344" ht="60" customHeight="1">
      <x:c r="A344" s="13" t="str">
        <x:v>E337</x:v>
      </x:c>
      <x:c r="B344" s="13" t="str">
        <x:v>Luke</x:v>
      </x:c>
      <x:c r="C344" s="14" t="n">
        <x:v>46316</x:v>
      </x:c>
      <x:c r="D344" s="13" t="n">
        <x:v>69</x:v>
      </x:c>
      <x:c r="E344" s="15" t="n">
        <x:v>0.6002083333333333</x:v>
      </x:c>
      <x:c r="F344" s="16" t="str">
        <x:v>14590112</x:v>
      </x:c>
      <x:c r="G344" s="13" t="n">
        <x:v>70</x:v>
      </x:c>
      <x:c r="H344" s="15" t="n">
        <x:v>0.6003472222222223</x:v>
      </x:c>
      <x:c r="I344" s="17" t="n">
        <x:f>ROUND((H344-E344)*86400,0)</x:f>
        <x:v>12</x:v>
      </x:c>
      <x:c r="J344" s="16" t="str">
        <x:v>14590117</x:v>
      </x:c>
      <x:c r="K344" s="13" t="str">
        <x:v>Luke, They gave you my [phone/found?] property. I'll just close this out and send it to you.</x:v>
      </x:c>
      <x:c r="L344" s="13" t="str">
        <x:v>Copy.</x:v>
      </x:c>
      <x:c r="M344" s="13" t="str">
        <x:v>Transcript association</x:v>
      </x:c>
      <x:c r="N344" s="13" t="str"/>
      <x:c r="O344" s="18" t="str">
        <x:v>Not reviewed</x:v>
      </x:c>
      <x:c r="P344" s="19" t="str">
        <x:v>https://afpd-accountability.com/records/openmhz/openmhz-afpd-car-to-car-2026-10-21/dcfems-6001-1792614258.m4a</x:v>
      </x:c>
      <x:c r="Q344" s="19" t="str">
        <x:v>https://afpd-accountability.com/records/openmhz/openmhz-afpd-car-to-car-2026-10-21/dcfems-6001-1792614270.m4a</x:v>
      </x:c>
      <x:c r="R344" s="19" t="str">
        <x:v>https://afpd-accountability.com/police-radio/?date=2026-10-21</x:v>
      </x:c>
      <x:c r="S344" s="13" t="n">
        <x:v>12</x:v>
      </x:c>
    </x:row>
    <x:row r="345" ht="60" customHeight="1">
      <x:c r="A345" s="13" t="str">
        <x:v>E338</x:v>
      </x:c>
      <x:c r="B345" s="13" t="str">
        <x:v>Wagley</x:v>
      </x:c>
      <x:c r="C345" s="14" t="n">
        <x:v>46316</x:v>
      </x:c>
      <x:c r="D345" s="13" t="n">
        <x:v>86</x:v>
      </x:c>
      <x:c r="E345" s="15" t="n">
        <x:v>0.6471759259259259</x:v>
      </x:c>
      <x:c r="F345" s="16" t="str">
        <x:v>14590067</x:v>
      </x:c>
      <x:c r="G345" s="13" t="n">
        <x:v>87</x:v>
      </x:c>
      <x:c r="H345" s="15" t="n">
        <x:v>0.6473148148148148</x:v>
      </x:c>
      <x:c r="I345" s="17" t="n">
        <x:f>ROUND((H345-E345)*86400,0)</x:f>
        <x:v>12</x:v>
      </x:c>
      <x:c r="J345" s="16" t="str">
        <x:v>14590079</x:v>
      </x:c>
      <x:c r="K345" s="13" t="str">
        <x:v>Wagley, are you still busy? This citizen contact request is for you, but if not, I can go take it, if needed.</x:v>
      </x:c>
      <x:c r="L345" s="13" t="str">
        <x:v>No, I can take it, I'm already at the base.</x:v>
      </x:c>
      <x:c r="M345" s="13" t="str">
        <x:v>Transcript association</x:v>
      </x:c>
      <x:c r="N345" s="13" t="str"/>
      <x:c r="O345" s="18" t="str">
        <x:v>Not reviewed</x:v>
      </x:c>
      <x:c r="P345" s="19" t="str">
        <x:v>https://afpd-accountability.com/records/openmhz/openmhz-afpd-car-to-car-2026-10-21/dcfems-6001-1792618316.m4a</x:v>
      </x:c>
      <x:c r="Q345" s="19" t="str">
        <x:v>https://afpd-accountability.com/records/openmhz/openmhz-afpd-car-to-car-2026-10-21/dcfems-6001-1792618328.m4a</x:v>
      </x:c>
      <x:c r="R345" s="19" t="str">
        <x:v>https://afpd-accountability.com/police-radio/?date=2026-10-21</x:v>
      </x:c>
      <x:c r="S345" s="13" t="n">
        <x:v>12</x:v>
      </x:c>
    </x:row>
    <x:row r="346" ht="60" customHeight="1">
      <x:c r="A346" s="13" t="str">
        <x:v>E339</x:v>
      </x:c>
      <x:c r="B346" s="13" t="str">
        <x:v>Somerville</x:v>
      </x:c>
      <x:c r="C346" s="14" t="n">
        <x:v>46316</x:v>
      </x:c>
      <x:c r="D346" s="13" t="n">
        <x:v>131</x:v>
      </x:c>
      <x:c r="E346" s="15" t="n">
        <x:v>0.8695023148148148</x:v>
      </x:c>
      <x:c r="F346" s="16" t="str">
        <x:v>14580151</x:v>
      </x:c>
      <x:c r="G346" s="13" t="n">
        <x:v>132</x:v>
      </x:c>
      <x:c r="H346" s="15" t="n">
        <x:v>0.8696180555555556</x:v>
      </x:c>
      <x:c r="I346" s="17" t="n">
        <x:f>ROUND((H346-E346)*86400,0)</x:f>
        <x:v>10</x:v>
      </x:c>
      <x:c r="J346" s="16" t="str">
        <x:v>14590073</x:v>
      </x:c>
      <x:c r="K346" s="13" t="str">
        <x:v>Thanks, Somerville. This car I've pulled over very much ran the red light.</x:v>
      </x:c>
      <x:c r="L346" s="13" t="str">
        <x:v>No worries.</x:v>
      </x:c>
      <x:c r="M346" s="13" t="str">
        <x:v>Transcript association</x:v>
      </x:c>
      <x:c r="N346" s="13" t="str"/>
      <x:c r="O346" s="18" t="str">
        <x:v>Not reviewed</x:v>
      </x:c>
      <x:c r="P346" s="19" t="str">
        <x:v>https://afpd-accountability.com/records/openmhz/openmhz-afpd-car-to-car-2026-10-21/dcfems-6001-1792637525.m4a</x:v>
      </x:c>
      <x:c r="Q346" s="19" t="str">
        <x:v>https://afpd-accountability.com/records/openmhz/openmhz-afpd-car-to-car-2026-10-21/dcfems-6001-1792637535.m4a</x:v>
      </x:c>
      <x:c r="R346" s="19" t="str">
        <x:v>https://afpd-accountability.com/police-radio/?date=2026-10-21</x:v>
      </x:c>
      <x:c r="S346" s="13" t="n">
        <x:v>10</x:v>
      </x:c>
    </x:row>
    <x:row r="347">
      <x:c r="A347" s="13" t="str">
        <x:v>E340</x:v>
      </x:c>
      <x:c r="B347" s="13" t="str">
        <x:v>Wagley</x:v>
      </x:c>
      <x:c r="C347" s="14" t="n">
        <x:v>46317</x:v>
      </x:c>
      <x:c r="D347" s="13" t="n">
        <x:v>19</x:v>
      </x:c>
      <x:c r="E347" s="15" t="n">
        <x:v>0.31127314814814816</x:v>
      </x:c>
      <x:c r="F347" s="16" t="str">
        <x:v>14590102</x:v>
      </x:c>
      <x:c r="G347" s="13" t="n">
        <x:v>20</x:v>
      </x:c>
      <x:c r="H347" s="15" t="n">
        <x:v>0.3113310185185185</x:v>
      </x:c>
      <x:c r="I347" s="17" t="n">
        <x:f>ROUND((H347-E347)*86400,0)</x:f>
        <x:v>5</x:v>
      </x:c>
      <x:c r="J347" s="16" t="str">
        <x:v>14590112</x:v>
      </x:c>
      <x:c r="K347" s="13" t="str">
        <x:v>Wagley, you said he had possible eyes on it at the Sage apartments?</x:v>
      </x:c>
      <x:c r="L347" s="13" t="str">
        <x:v>Yeah, but I have no idea where they're at now.</x:v>
      </x:c>
      <x:c r="M347" s="13" t="str">
        <x:v>Transcript association</x:v>
      </x:c>
      <x:c r="N347" s="13" t="str">
        <x:v>New ID association. Other dates associate Wagley with different radios. Archive verification: question verified, reply verified. Not re-listened for this update.</x:v>
      </x:c>
      <x:c r="O347" s="18" t="str">
        <x:v>Not reviewed</x:v>
      </x:c>
      <x:c r="P347" s="19" t="str">
        <x:v>https://afpd-accountability.com/records/openmhz/openmhz-afpd-car-to-car-2026-10-22/dcfems-6001-1792675694.m4a</x:v>
      </x:c>
      <x:c r="Q347" s="19" t="str">
        <x:v>https://afpd-accountability.com/records/openmhz/openmhz-afpd-car-to-car-2026-10-22/dcfems-6001-1792675699.m4a</x:v>
      </x:c>
      <x:c r="R347" s="19" t="str">
        <x:v>https://afpd-accountability.com/police-radio/?date=2026-10-22</x:v>
      </x:c>
      <x:c r="S347" s="13" t="n">
        <x:v>5</x:v>
      </x:c>
    </x:row>
    <x:row r="348">
      <x:c r="A348" s="13" t="str">
        <x:v>E341</x:v>
      </x:c>
      <x:c r="B348" s="13" t="str">
        <x:v>Wagley</x:v>
      </x:c>
      <x:c r="C348" s="14" t="n">
        <x:v>46317</x:v>
      </x:c>
      <x:c r="D348" s="13" t="n">
        <x:v>44</x:v>
      </x:c>
      <x:c r="E348" s="15" t="n">
        <x:v>0.3985300925925926</x:v>
      </x:c>
      <x:c r="F348" s="16" t="str">
        <x:v>14590102</x:v>
      </x:c>
      <x:c r="G348" s="13" t="n">
        <x:v>45</x:v>
      </x:c>
      <x:c r="H348" s="15" t="n">
        <x:v>0.3985763888888889</x:v>
      </x:c>
      <x:c r="I348" s="17" t="n">
        <x:f>ROUND((H348-E348)*86400,0)</x:f>
        <x:v>4</x:v>
      </x:c>
      <x:c r="J348" s="16" t="str">
        <x:v>14590112</x:v>
      </x:c>
      <x:c r="K348" s="13" t="str">
        <x:v>Wagley, can I take that from you?</x:v>
      </x:c>
      <x:c r="L348" s="13" t="str">
        <x:v>If you want, if you're super [swamped?], I got it. I mostly [got up?].</x:v>
      </x:c>
      <x:c r="M348" s="13" t="str">
        <x:v>Transcript association</x:v>
      </x:c>
      <x:c r="N348" s="13" t="str">
        <x:v>Direct response to surname hail; reply transcript is uncertain. Archive verification: question verified, reply unverified. Not re-listened for this update.</x:v>
      </x:c>
      <x:c r="O348" s="18" t="str">
        <x:v>Not reviewed</x:v>
      </x:c>
      <x:c r="P348" s="19" t="str">
        <x:v>https://afpd-accountability.com/records/openmhz/openmhz-afpd-car-to-car-2026-10-22/dcfems-6001-1792683233.m4a</x:v>
      </x:c>
      <x:c r="Q348" s="19" t="str">
        <x:v>https://afpd-accountability.com/records/openmhz/openmhz-afpd-car-to-car-2026-10-22/dcfems-6001-1792683237.m4a</x:v>
      </x:c>
      <x:c r="R348" s="19" t="str">
        <x:v>https://afpd-accountability.com/police-radio/?date=2026-10-22</x:v>
      </x:c>
      <x:c r="S348" s="13" t="n">
        <x:v>4</x:v>
      </x:c>
    </x:row>
    <x:row r="349">
      <x:c r="A349" s="13" t="str">
        <x:v>E342</x:v>
      </x:c>
      <x:c r="B349" s="13" t="str">
        <x:v>Greg</x:v>
      </x:c>
      <x:c r="C349" s="14" t="n">
        <x:v>46317</x:v>
      </x:c>
      <x:c r="D349" s="13" t="n">
        <x:v>63</x:v>
      </x:c>
      <x:c r="E349" s="15" t="n">
        <x:v>0.54125</x:v>
      </x:c>
      <x:c r="F349" s="16" t="str">
        <x:v>14590112</x:v>
      </x:c>
      <x:c r="G349" s="13" t="n">
        <x:v>64</x:v>
      </x:c>
      <x:c r="H349" s="15" t="n">
        <x:v>0.5413310185185185</x:v>
      </x:c>
      <x:c r="I349" s="17" t="n">
        <x:f>ROUND((H349-E349)*86400,0)</x:f>
        <x:v>7</x:v>
      </x:c>
      <x:c r="J349" s="16" t="str">
        <x:v>14590098</x:v>
      </x:c>
      <x:c r="K349" s="13" t="str">
        <x:v>Hey Mecham, I'm in the area of your animal injury, and I haven't seen anything yet.</x:v>
      </x:c>
      <x:c r="L349" s="13" t="str">
        <x:v>Perfect, that's just what I want to hear.</x:v>
      </x:c>
      <x:c r="M349" s="13" t="str">
        <x:v>Transcript association</x:v>
      </x:c>
      <x:c r="N349" s="13" t="str">
        <x:v>Question addresses Mecham. Grouped with existing Greg entries using the roster candidate Greg B. Mecham; no voice identification. Archive verification: question verified, reply verified. Not re-listened for this update.</x:v>
      </x:c>
      <x:c r="O349" s="18" t="str">
        <x:v>Not reviewed</x:v>
      </x:c>
      <x:c r="P349" s="19" t="str">
        <x:v>https://afpd-accountability.com/records/openmhz/openmhz-afpd-car-to-car-2026-10-22/dcfems-6001-1792695564.m4a</x:v>
      </x:c>
      <x:c r="Q349" s="19" t="str">
        <x:v>https://afpd-accountability.com/records/openmhz/openmhz-afpd-car-to-car-2026-10-22/dcfems-6001-1792695571.m4a</x:v>
      </x:c>
      <x:c r="R349" s="19" t="str">
        <x:v>https://afpd-accountability.com/police-radio/?date=2026-10-22</x:v>
      </x:c>
      <x:c r="S349" s="13" t="n">
        <x:v>7</x:v>
      </x:c>
    </x:row>
    <x:row r="350">
      <x:c r="A350" s="13" t="str">
        <x:v>E343</x:v>
      </x:c>
      <x:c r="B350" s="13" t="str">
        <x:v>Manis</x:v>
      </x:c>
      <x:c r="C350" s="14" t="n">
        <x:v>46317</x:v>
      </x:c>
      <x:c r="D350" s="13" t="n">
        <x:v>75</x:v>
      </x:c>
      <x:c r="E350" s="15" t="n">
        <x:v>0.5824652777777778</x:v>
      </x:c>
      <x:c r="F350" s="16" t="str">
        <x:v>14590162</x:v>
      </x:c>
      <x:c r="G350" s="13" t="n">
        <x:v>76</x:v>
      </x:c>
      <x:c r="H350" s="15" t="n">
        <x:v>0.5829976851851851</x:v>
      </x:c>
      <x:c r="I350" s="17" t="n">
        <x:f>ROUND((H350-E350)*86400,0)</x:f>
        <x:v>46</x:v>
      </x:c>
      <x:c r="J350" s="16" t="str">
        <x:v>14590027</x:v>
      </x:c>
      <x:c r="K350" s="13" t="str">
        <x:v>Hey, Manis, do you want me to meet you where that 911 call is?</x:v>
      </x:c>
      <x:c r="L350" s="13" t="str">
        <x:v>It looks like [1096?] is going to be the RP. I have both parties, looks like dad and daughter, outside.</x:v>
      </x:c>
      <x:c r="M350" s="13" t="str">
        <x:v>Transcript association</x:v>
      </x:c>
      <x:c r="N350" s="13" t="str">
        <x:v>Following transmission describes the same incident, but does not explicitly identify the speaker. Archive verification: question verified, reply unverified. Not re-listened for this update.</x:v>
      </x:c>
      <x:c r="O350" s="18" t="str">
        <x:v>Not reviewed</x:v>
      </x:c>
      <x:c r="P350" s="19" t="str">
        <x:v>https://afpd-accountability.com/records/openmhz/openmhz-afpd-car-to-car-2026-10-22/dcfems-6001-1792699125.m4a</x:v>
      </x:c>
      <x:c r="Q350" s="19" t="str">
        <x:v>https://afpd-accountability.com/records/openmhz/openmhz-afpd-car-to-car-2026-10-22/dcfems-6001-1792699171.m4a</x:v>
      </x:c>
      <x:c r="R350" s="19" t="str">
        <x:v>https://afpd-accountability.com/police-radio/?date=2026-10-22</x:v>
      </x:c>
      <x:c r="S350" s="13" t="n">
        <x:v>46</x:v>
      </x:c>
    </x:row>
    <x:row r="351">
      <x:c r="A351" s="13" t="str">
        <x:v>E344</x:v>
      </x:c>
      <x:c r="B351" s="13" t="str">
        <x:v>Neil (unclear)</x:v>
      </x:c>
      <x:c r="C351" s="14" t="n">
        <x:v>46317</x:v>
      </x:c>
      <x:c r="D351" s="13" t="n">
        <x:v>79</x:v>
      </x:c>
      <x:c r="E351" s="15" t="n">
        <x:v>0.5863657407407408</x:v>
      </x:c>
      <x:c r="F351" s="16" t="str">
        <x:v>14590320</x:v>
      </x:c>
      <x:c r="G351" s="13" t="n">
        <x:v>80</x:v>
      </x:c>
      <x:c r="H351" s="15" t="n">
        <x:v>0.5864236111111111</x:v>
      </x:c>
      <x:c r="I351" s="17" t="n">
        <x:f>ROUND((H351-E351)*86400,0)</x:f>
        <x:v>5</x:v>
      </x:c>
      <x:c r="J351" s="16" t="str">
        <x:v>14590027</x:v>
      </x:c>
      <x:c r="K351" s="13" t="str">
        <x:v>[Neil?], do you need medical?</x:v>
      </x:c>
      <x:c r="L351" s="13" t="str">
        <x:v>Negative, [unclear remainder].</x:v>
      </x:c>
      <x:c r="M351" s="13" t="str">
        <x:v>Transcript association</x:v>
      </x:c>
      <x:c r="N351" s="13" t="str">
        <x:v>Name uncertain. Do not equate Neil with Manis or another roster name. Archive verification: question unverified, reply unverified. Not re-listened for this update.</x:v>
      </x:c>
      <x:c r="O351" s="18" t="str">
        <x:v>Not reviewed</x:v>
      </x:c>
      <x:c r="P351" s="19" t="str">
        <x:v>https://afpd-accountability.com/records/openmhz/openmhz-afpd-car-to-car-2026-10-22/dcfems-6001-1792699462.m4a</x:v>
      </x:c>
      <x:c r="Q351" s="19" t="str">
        <x:v>https://afpd-accountability.com/records/openmhz/openmhz-afpd-car-to-car-2026-10-22/dcfems-6001-1792699467.m4a</x:v>
      </x:c>
      <x:c r="R351" s="19" t="str">
        <x:v>https://afpd-accountability.com/police-radio/?date=2026-10-22</x:v>
      </x:c>
      <x:c r="S351" s="13" t="n">
        <x:v>5</x:v>
      </x:c>
    </x:row>
    <x:row r="352">
      <x:c r="A352" s="13" t="str">
        <x:v>E345</x:v>
      </x:c>
      <x:c r="B352" s="13" t="str">
        <x:v>Neil (unclear)</x:v>
      </x:c>
      <x:c r="C352" s="14" t="n">
        <x:v>46317</x:v>
      </x:c>
      <x:c r="D352" s="13" t="n">
        <x:v>91</x:v>
      </x:c>
      <x:c r="E352" s="15" t="n">
        <x:v>0.7025578703703703</x:v>
      </x:c>
      <x:c r="F352" s="16" t="str">
        <x:v>14590320</x:v>
      </x:c>
      <x:c r="G352" s="13" t="n">
        <x:v>92</x:v>
      </x:c>
      <x:c r="H352" s="15" t="n">
        <x:v>0.7026273148148148</x:v>
      </x:c>
      <x:c r="I352" s="17" t="n">
        <x:f>ROUND((H352-E352)*86400,0)</x:f>
        <x:v>6</x:v>
      </x:c>
      <x:c r="J352" s="16" t="str">
        <x:v>14590097</x:v>
      </x:c>
      <x:c r="K352" s="13" t="str">
        <x:v>[Neil?], [are you grabbing the wrap / you grab them, they're out]?</x:v>
      </x:c>
      <x:c r="L352" s="13" t="str">
        <x:v>Yeah, I got it.</x:v>
      </x:c>
      <x:c r="M352" s="13" t="str">
        <x:v>Transcript association</x:v>
      </x:c>
      <x:c r="N352" s="13" t="str">
        <x:v>Name and question uncertain. Different responding ID from other Neil examples. Archive verification: question unverified, reply unverified. Not re-listened for this update.</x:v>
      </x:c>
      <x:c r="O352" s="18" t="str">
        <x:v>Not reviewed</x:v>
      </x:c>
      <x:c r="P352" s="19" t="str">
        <x:v>https://afpd-accountability.com/records/openmhz/openmhz-afpd-car-to-car-2026-10-22/dcfems-6001-1792709501.m4a</x:v>
      </x:c>
      <x:c r="Q352" s="19" t="str">
        <x:v>https://afpd-accountability.com/records/openmhz/openmhz-afpd-car-to-car-2026-10-22/dcfems-6001-1792709507.m4a</x:v>
      </x:c>
      <x:c r="R352" s="19" t="str">
        <x:v>https://afpd-accountability.com/police-radio/?date=2026-10-22</x:v>
      </x:c>
      <x:c r="S352" s="13" t="n">
        <x:v>6</x:v>
      </x:c>
    </x:row>
    <x:row r="353">
      <x:c r="A353" s="13" t="str">
        <x:v>E346</x:v>
      </x:c>
      <x:c r="B353" s="13" t="str">
        <x:v>Neil (unclear)</x:v>
      </x:c>
      <x:c r="C353" s="14" t="n">
        <x:v>46317</x:v>
      </x:c>
      <x:c r="D353" s="13" t="n">
        <x:v>101</x:v>
      </x:c>
      <x:c r="E353" s="15" t="n">
        <x:v>0.7165856481481482</x:v>
      </x:c>
      <x:c r="F353" s="16" t="str">
        <x:v>14580151</x:v>
      </x:c>
      <x:c r="G353" s="13" t="n">
        <x:v>102</x:v>
      </x:c>
      <x:c r="H353" s="15" t="n">
        <x:v>0.7166666666666667</x:v>
      </x:c>
      <x:c r="I353" s="17" t="n">
        <x:f>ROUND((H353-E353)*86400,0)</x:f>
        <x:v>7</x:v>
      </x:c>
      <x:c r="J353" s="16" t="str">
        <x:v>14590027</x:v>
      </x:c>
      <x:c r="K353" s="13" t="str">
        <x:v>[Neil?], do you want another over there so I can head that way?</x:v>
      </x:c>
      <x:c r="L353" s="13" t="str">
        <x:v>Yeah, let's try and get one more.</x:v>
      </x:c>
      <x:c r="M353" s="13" t="str">
        <x:v>Transcript association</x:v>
      </x:c>
      <x:c r="N353" s="13" t="str">
        <x:v>Uncertain first name; direct response to request for another officer. Archive verification: question unverified, reply unverified. Not re-listened for this update.</x:v>
      </x:c>
      <x:c r="O353" s="18" t="str">
        <x:v>Not reviewed</x:v>
      </x:c>
      <x:c r="P353" s="19" t="str">
        <x:v>https://afpd-accountability.com/records/openmhz/openmhz-afpd-car-to-car-2026-10-22/dcfems-6001-1792710713.m4a</x:v>
      </x:c>
      <x:c r="Q353" s="19" t="str">
        <x:v>https://afpd-accountability.com/records/openmhz/openmhz-afpd-car-to-car-2026-10-22/dcfems-6001-1792710720.m4a</x:v>
      </x:c>
      <x:c r="R353" s="19" t="str">
        <x:v>https://afpd-accountability.com/police-radio/?date=2026-10-22</x:v>
      </x:c>
      <x:c r="S353" s="13" t="n">
        <x:v>7</x:v>
      </x:c>
    </x:row>
    <x:row r="354">
      <x:c r="A354" s="13" t="str">
        <x:v>E347</x:v>
      </x:c>
      <x:c r="B354" s="13" t="str">
        <x:v>Neil (unclear)</x:v>
      </x:c>
      <x:c r="C354" s="14" t="n">
        <x:v>46317</x:v>
      </x:c>
      <x:c r="D354" s="13" t="n">
        <x:v>103</x:v>
      </x:c>
      <x:c r="E354" s="15" t="n">
        <x:v>0.7169212962962963</x:v>
      </x:c>
      <x:c r="F354" s="16" t="str">
        <x:v>14590112</x:v>
      </x:c>
      <x:c r="G354" s="13" t="n">
        <x:v>104</x:v>
      </x:c>
      <x:c r="H354" s="15" t="n">
        <x:v>0.7169791666666666</x:v>
      </x:c>
      <x:c r="I354" s="17" t="n">
        <x:f>ROUND((H354-E354)*86400,0)</x:f>
        <x:v>5</x:v>
      </x:c>
      <x:c r="J354" s="16" t="str">
        <x:v>14590027</x:v>
      </x:c>
      <x:c r="K354" s="13" t="str">
        <x:v>[You know / Neil?], do you need me staged anywhere?</x:v>
      </x:c>
      <x:c r="L354" s="13" t="str">
        <x:v>Just nearby. I'm going to try and make contact with her through the door and see if she de-escalates, but we'll see how it goes.</x:v>
      </x:c>
      <x:c r="M354" s="13" t="str">
        <x:v>Transcript association</x:v>
      </x:c>
      <x:c r="N354" s="13" t="str">
        <x:v>Opening may be “you know” rather than Neil. Provisional transcript association only. Archive verification: question unverified, reply unverified. Not re-listened for this update.</x:v>
      </x:c>
      <x:c r="O354" s="18" t="str">
        <x:v>Not reviewed</x:v>
      </x:c>
      <x:c r="P354" s="19" t="str">
        <x:v>https://afpd-accountability.com/records/openmhz/openmhz-afpd-car-to-car-2026-10-22/dcfems-6001-1792710742.m4a</x:v>
      </x:c>
      <x:c r="Q354" s="19" t="str">
        <x:v>https://afpd-accountability.com/records/openmhz/openmhz-afpd-car-to-car-2026-10-22/dcfems-6001-1792710747.m4a</x:v>
      </x:c>
      <x:c r="R354" s="19" t="str">
        <x:v>https://afpd-accountability.com/police-radio/?date=2026-10-22</x:v>
      </x:c>
      <x:c r="S354" s="13" t="n">
        <x:v>5</x:v>
      </x:c>
    </x:row>
    <x:row r="355">
      <x:c r="A355" s="13" t="str">
        <x:v>E348</x:v>
      </x:c>
      <x:c r="B355" s="13" t="str">
        <x:v>Luke</x:v>
      </x:c>
      <x:c r="C355" s="14" t="n">
        <x:v>46317</x:v>
      </x:c>
      <x:c r="D355" s="13" t="n">
        <x:v>107</x:v>
      </x:c>
      <x:c r="E355" s="15" t="n">
        <x:v>0.7215393518518518</x:v>
      </x:c>
      <x:c r="F355" s="16" t="str">
        <x:v>14590079</x:v>
      </x:c>
      <x:c r="G355" s="13" t="n">
        <x:v>108</x:v>
      </x:c>
      <x:c r="H355" s="15" t="n">
        <x:v>0.7216087962962963</x:v>
      </x:c>
      <x:c r="I355" s="17" t="n">
        <x:f>ROUND((H355-E355)*86400,0)</x:f>
        <x:v>6</x:v>
      </x:c>
      <x:c r="J355" s="16" t="str">
        <x:v>14590320</x:v>
      </x:c>
      <x:c r="K355" s="13" t="str">
        <x:v>[Luke?], are you guys in contact?</x:v>
      </x:c>
      <x:c r="L355" s="13" t="str">
        <x:v>Negative.</x:v>
      </x:c>
      <x:c r="M355" s="13" t="str">
        <x:v>Transcript association</x:v>
      </x:c>
      <x:c r="N355" s="13" t="str">
        <x:v>Name is bracketed as uncertain; short direct response. Archive verification: question unverified, reply unverified. Not re-listened for this update.</x:v>
      </x:c>
      <x:c r="O355" s="18" t="str">
        <x:v>Not reviewed</x:v>
      </x:c>
      <x:c r="P355" s="19" t="str">
        <x:v>https://afpd-accountability.com/records/openmhz/openmhz-afpd-car-to-car-2026-10-22/dcfems-6001-1792711141.m4a</x:v>
      </x:c>
      <x:c r="Q355" s="19" t="str">
        <x:v>https://afpd-accountability.com/records/openmhz/openmhz-afpd-car-to-car-2026-10-22/dcfems-6001-1792711147.m4a</x:v>
      </x:c>
      <x:c r="R355" s="19" t="str">
        <x:v>https://afpd-accountability.com/police-radio/?date=2026-10-22</x:v>
      </x:c>
      <x:c r="S355" s="13" t="n">
        <x:v>6</x:v>
      </x:c>
    </x:row>
    <x:row r="356">
      <x:c r="A356" s="13" t="str">
        <x:v>E349</x:v>
      </x:c>
      <x:c r="B356" s="13" t="str">
        <x:v>Tanner / T-Ball / G-Ball</x:v>
      </x:c>
      <x:c r="C356" s="14" t="n">
        <x:v>46317</x:v>
      </x:c>
      <x:c r="D356" s="13" t="n">
        <x:v>109</x:v>
      </x:c>
      <x:c r="E356" s="15" t="n">
        <x:v>0.7220138888888888</x:v>
      </x:c>
      <x:c r="F356" s="16" t="str">
        <x:v>14590079</x:v>
      </x:c>
      <x:c r="G356" s="13" t="n">
        <x:v>110</x:v>
      </x:c>
      <x:c r="H356" s="15" t="n">
        <x:v>0.7221180555555555</x:v>
      </x:c>
      <x:c r="I356" s="17" t="n">
        <x:f>ROUND((H356-E356)*86400,0)</x:f>
        <x:v>9</x:v>
      </x:c>
      <x:c r="J356" s="16" t="str">
        <x:v>14580151</x:v>
      </x:c>
      <x:c r="K356" s="13" t="str">
        <x:v>T-Ball, if you can hold the [1-4?] corner, that would be awesome.</x:v>
      </x:c>
      <x:c r="L356" s="13" t="str">
        <x:v>Sounds good.</x:v>
      </x:c>
      <x:c r="M356" s="13" t="str">
        <x:v>Owner-identified association</x:v>
      </x:c>
      <x:c r="N356" s="13" t="str">
        <x:v>Owner identifies Tanner, T-Ball and G-Ball as Tanner Ballamis. The former D-Ball reading is corrected to T-Ball. Other words remain unverified.</x:v>
      </x:c>
      <x:c r="O356" s="18" t="str">
        <x:v>Owner identification</x:v>
      </x:c>
      <x:c r="P356" s="19" t="str">
        <x:v>https://afpd-accountability.com/records/openmhz/openmhz-afpd-car-to-car-2026-10-22/dcfems-6001-1792711182.m4a</x:v>
      </x:c>
      <x:c r="Q356" s="19" t="str">
        <x:v>https://afpd-accountability.com/records/openmhz/openmhz-afpd-car-to-car-2026-10-22/dcfems-6001-1792711191.m4a</x:v>
      </x:c>
      <x:c r="R356" s="19" t="str">
        <x:v>https://afpd-accountability.com/police-radio/?date=2026-10-22</x:v>
      </x:c>
      <x:c r="S356" s="13" t="n">
        <x:v>9</x:v>
      </x:c>
    </x:row>
    <x:row r="357">
      <x:c r="A357" s="13" t="str">
        <x:v>E350</x:v>
      </x:c>
      <x:c r="B357" s="13" t="str">
        <x:v>Tanner / T-Ball / G-Ball</x:v>
      </x:c>
      <x:c r="C357" s="14" t="n">
        <x:v>46317</x:v>
      </x:c>
      <x:c r="D357" s="13" t="n">
        <x:v>111</x:v>
      </x:c>
      <x:c r="E357" s="15" t="n">
        <x:v>0.724224537037037</x:v>
      </x:c>
      <x:c r="F357" s="16" t="str">
        <x:v>14590026</x:v>
      </x:c>
      <x:c r="G357" s="13" t="n">
        <x:v>112</x:v>
      </x:c>
      <x:c r="H357" s="15" t="n">
        <x:v>0.7243171296296296</x:v>
      </x:c>
      <x:c r="I357" s="17" t="n">
        <x:f>ROUND((H357-E357)*86400,0)</x:f>
        <x:v>8</x:v>
      </x:c>
      <x:c r="J357" s="16" t="str">
        <x:v>14580151</x:v>
      </x:c>
      <x:c r="K357" s="13" t="str">
        <x:v>Hey, [Tanner?], [unclear question about the car].</x:v>
      </x:c>
      <x:c r="L357" s="13" t="str">
        <x:v>I don't know why I'm not hearing anything. What's up?</x:v>
      </x:c>
      <x:c r="M357" s="13" t="str">
        <x:v>Owner-identified association</x:v>
      </x:c>
      <x:c r="N357" s="13" t="str">
        <x:v>Owner identifies Tanner, T-Ball and G-Ball as Tanner Ballamis. The former D-Ball reading is corrected to T-Ball. Other words remain unverified.</x:v>
      </x:c>
      <x:c r="O357" s="18" t="str">
        <x:v>Owner identification</x:v>
      </x:c>
      <x:c r="P357" s="19" t="str">
        <x:v>https://afpd-accountability.com/records/openmhz/openmhz-afpd-car-to-car-2026-10-22/dcfems-6001-1792711373.m4a</x:v>
      </x:c>
      <x:c r="Q357" s="19" t="str">
        <x:v>https://afpd-accountability.com/records/openmhz/openmhz-afpd-car-to-car-2026-10-22/dcfems-6001-1792711381.m4a</x:v>
      </x:c>
      <x:c r="R357" s="19" t="str">
        <x:v>https://afpd-accountability.com/police-radio/?date=2026-10-22</x:v>
      </x:c>
      <x:c r="S357" s="13" t="n">
        <x:v>8</x:v>
      </x:c>
    </x:row>
    <x:row r="358">
      <x:c r="A358" s="13" t="str">
        <x:v>E351</x:v>
      </x:c>
      <x:c r="B358" s="13" t="str">
        <x:v>Somerville</x:v>
      </x:c>
      <x:c r="C358" s="14" t="n">
        <x:v>46317</x:v>
      </x:c>
      <x:c r="D358" s="13" t="n">
        <x:v>145</x:v>
      </x:c>
      <x:c r="E358" s="15" t="n">
        <x:v>0.7390625</x:v>
      </x:c>
      <x:c r="F358" s="16" t="str">
        <x:v>14590185</x:v>
      </x:c>
      <x:c r="G358" s="13" t="n">
        <x:v>146</x:v>
      </x:c>
      <x:c r="H358" s="15" t="n">
        <x:v>0.7391550925925926</x:v>
      </x:c>
      <x:c r="I358" s="17" t="n">
        <x:f>ROUND((H358-E358)*86400,0)</x:f>
        <x:v>8</x:v>
      </x:c>
      <x:c r="J358" s="16" t="str">
        <x:v>14590073</x:v>
      </x:c>
      <x:c r="K358" s="13" t="str">
        <x:v>Hey, Somerville, also if you can grab the second wrap, just in case.</x:v>
      </x:c>
      <x:c r="L358" s="13" t="str">
        <x:v>Copy.</x:v>
      </x:c>
      <x:c r="M358" s="13" t="str">
        <x:v>Transcript association</x:v>
      </x:c>
      <x:c r="N358" s="13" t="str">
        <x:v>Second surname-addressed request receives Copy. Earlier request in clip 144 shares this same reply and is not counted separately. Archive verification: question unverified, reply unverified. Not re-listened for this update.</x:v>
      </x:c>
      <x:c r="O358" s="18" t="str">
        <x:v>Not reviewed</x:v>
      </x:c>
      <x:c r="P358" s="19" t="str">
        <x:v>https://afpd-accountability.com/records/openmhz/openmhz-afpd-car-to-car-2026-10-22/dcfems-6001-1792712655.m4a</x:v>
      </x:c>
      <x:c r="Q358" s="19" t="str">
        <x:v>https://afpd-accountability.com/records/openmhz/openmhz-afpd-car-to-car-2026-10-22/dcfems-6001-1792712663.m4a</x:v>
      </x:c>
      <x:c r="R358" s="19" t="str">
        <x:v>https://afpd-accountability.com/police-radio/?date=2026-10-22</x:v>
      </x:c>
      <x:c r="S358" s="13" t="n">
        <x:v>8</x:v>
      </x:c>
    </x:row>
    <x:row r="359">
      <x:c r="A359" s="13" t="str">
        <x:v>E352</x:v>
      </x:c>
      <x:c r="B359" s="13" t="str">
        <x:v>Peter (unclear)</x:v>
      </x:c>
      <x:c r="C359" s="14" t="n">
        <x:v>46317</x:v>
      </x:c>
      <x:c r="D359" s="13" t="n">
        <x:v>156</x:v>
      </x:c>
      <x:c r="E359" s="15" t="n">
        <x:v>0.7507175925925926</x:v>
      </x:c>
      <x:c r="F359" s="16" t="str">
        <x:v>14590185</x:v>
      </x:c>
      <x:c r="G359" s="13" t="n">
        <x:v>157</x:v>
      </x:c>
      <x:c r="H359" s="15" t="n">
        <x:v>0.7508449074074074</x:v>
      </x:c>
      <x:c r="I359" s="17" t="n">
        <x:f>ROUND((H359-E359)*86400,0)</x:f>
        <x:v>11</x:v>
      </x:c>
      <x:c r="J359" s="16" t="str">
        <x:v>14590114</x:v>
      </x:c>
      <x:c r="K359" s="13" t="str">
        <x:v>[Peter?], are you on here?</x:v>
      </x:c>
      <x:c r="L359" s="13" t="str">
        <x:v>Now, you know, I was just rolling to the mental subject.</x:v>
      </x:c>
      <x:c r="M359" s="13" t="str">
        <x:v>Transcript association</x:v>
      </x:c>
      <x:c r="N359" s="13" t="str">
        <x:v>Name uncertain. Kept separate from Pitt and Pat; no identity inferred from a shared ID. Archive verification: question unverified, reply unverified. Not re-listened for this update.</x:v>
      </x:c>
      <x:c r="O359" s="18" t="str">
        <x:v>Not reviewed</x:v>
      </x:c>
      <x:c r="P359" s="19" t="str">
        <x:v>https://afpd-accountability.com/records/openmhz/openmhz-afpd-car-to-car-2026-10-22/dcfems-6001-1792713662.m4a</x:v>
      </x:c>
      <x:c r="Q359" s="19" t="str">
        <x:v>https://afpd-accountability.com/records/openmhz/openmhz-afpd-car-to-car-2026-10-22/dcfems-6001-1792713673.m4a</x:v>
      </x:c>
      <x:c r="R359" s="19" t="str">
        <x:v>https://afpd-accountability.com/police-radio/?date=2026-10-22</x:v>
      </x:c>
      <x:c r="S359" s="13" t="n">
        <x:v>11</x:v>
      </x:c>
    </x:row>
    <x:row r="360">
      <x:c r="A360" s="13" t="str">
        <x:v>E353</x:v>
      </x:c>
      <x:c r="B360" s="13" t="str">
        <x:v>Tanner / T-Ball / G-Ball</x:v>
      </x:c>
      <x:c r="C360" s="14" t="n">
        <x:v>46317</x:v>
      </x:c>
      <x:c r="D360" s="13" t="n">
        <x:v>190</x:v>
      </x:c>
      <x:c r="E360" s="15" t="n">
        <x:v>0.8573495370370371</x:v>
      </x:c>
      <x:c r="F360" s="16" t="str">
        <x:v>14590099</x:v>
      </x:c>
      <x:c r="G360" s="13" t="n">
        <x:v>191</x:v>
      </x:c>
      <x:c r="H360" s="15" t="n">
        <x:v>0.8574305555555556</x:v>
      </x:c>
      <x:c r="I360" s="17" t="n">
        <x:f>ROUND((H360-E360)*86400,0)</x:f>
        <x:v>7</x:v>
      </x:c>
      <x:c r="J360" s="16" t="str">
        <x:v>14580151</x:v>
      </x:c>
      <x:c r="K360" s="13" t="str">
        <x:v>Hey, [G-ball?], where you at?</x:v>
      </x:c>
      <x:c r="L360" s="13" t="str">
        <x:v>700 West, [200 South?]. Getting pretty close.</x:v>
      </x:c>
      <x:c r="M360" s="13" t="str">
        <x:v>Owner-identified association</x:v>
      </x:c>
      <x:c r="N360" s="13" t="str">
        <x:v>Owner identifies Tanner, T-Ball and G-Ball as Tanner Ballamis. The former D-Ball reading is corrected to T-Ball. Other words remain unverified.</x:v>
      </x:c>
      <x:c r="O360" s="18" t="str">
        <x:v>Owner identification</x:v>
      </x:c>
      <x:c r="P360" s="19" t="str">
        <x:v>https://afpd-accountability.com/records/openmhz/openmhz-afpd-car-to-car-2026-10-22/dcfems-6001-1792722875.m4a</x:v>
      </x:c>
      <x:c r="Q360" s="19" t="str">
        <x:v>https://afpd-accountability.com/records/openmhz/openmhz-afpd-car-to-car-2026-10-22/dcfems-6001-1792722882.m4a</x:v>
      </x:c>
      <x:c r="R360" s="19" t="str">
        <x:v>https://afpd-accountability.com/police-radio/?date=2026-10-22</x:v>
      </x:c>
      <x:c r="S360" s="13" t="n">
        <x:v>7</x:v>
      </x:c>
    </x:row>
    <x:row r="361">
      <x:c r="A361" s="13" t="str">
        <x:v>E354</x:v>
      </x:c>
      <x:c r="B361" s="13" t="str">
        <x:v>Pat (unclear)</x:v>
      </x:c>
      <x:c r="C361" s="14" t="n">
        <x:v>46317</x:v>
      </x:c>
      <x:c r="D361" s="13" t="n">
        <x:v>195</x:v>
      </x:c>
      <x:c r="E361" s="15" t="n">
        <x:v>0.8741666666666666</x:v>
      </x:c>
      <x:c r="F361" s="16" t="str">
        <x:v>14590099</x:v>
      </x:c>
      <x:c r="G361" s="13" t="n">
        <x:v>196</x:v>
      </x:c>
      <x:c r="H361" s="15" t="n">
        <x:v>0.8742129629629629</x:v>
      </x:c>
      <x:c r="I361" s="17" t="n">
        <x:f>ROUND((H361-E361)*86400,0)</x:f>
        <x:v>4</x:v>
      </x:c>
      <x:c r="J361" s="16" t="str">
        <x:v>14590114</x:v>
      </x:c>
      <x:c r="K361" s="13" t="str">
        <x:v>Hey, [Pat?], do you need any help over there?</x:v>
      </x:c>
      <x:c r="L361" s="13" t="str">
        <x:v>Negative for now, thank you.</x:v>
      </x:c>
      <x:c r="M361" s="13" t="str">
        <x:v>Transcript association</x:v>
      </x:c>
      <x:c r="N361" s="13" t="str">
        <x:v>Name uncertain. Kept separate from Pitt and Peter; no full-name identity assigned. Archive verification: question unverified, reply unverified. Not re-listened for this update.</x:v>
      </x:c>
      <x:c r="O361" s="18" t="str">
        <x:v>Not reviewed</x:v>
      </x:c>
      <x:c r="P361" s="19" t="str">
        <x:v>https://afpd-accountability.com/records/openmhz/openmhz-afpd-car-to-car-2026-10-22/dcfems-6001-1792724328.m4a</x:v>
      </x:c>
      <x:c r="Q361" s="19" t="str">
        <x:v>https://afpd-accountability.com/records/openmhz/openmhz-afpd-car-to-car-2026-10-22/dcfems-6001-1792724332.m4a</x:v>
      </x:c>
      <x:c r="R361" s="19" t="str">
        <x:v>https://afpd-accountability.com/police-radio/?date=2026-10-22</x:v>
      </x:c>
      <x:c r="S361" s="13" t="n">
        <x:v>4</x:v>
      </x:c>
    </x:row>
    <x:row r="362" ht="82" customHeight="1">
      <x:c r="A362" s="13" t="str">
        <x:v>E355</x:v>
      </x:c>
      <x:c r="B362" s="13" t="str">
        <x:v>Makai / Kelepi</x:v>
      </x:c>
      <x:c r="C362" s="14" t="n">
        <x:v>46277</x:v>
      </x:c>
      <x:c r="D362" s="13" t="n">
        <x:v>642</x:v>
      </x:c>
      <x:c r="E362" s="15" t="n">
        <x:v>0.6498032407407407</x:v>
      </x:c>
      <x:c r="F362" s="16" t="str">
        <x:v>14590087</x:v>
      </x:c>
      <x:c r="G362" s="13" t="n">
        <x:v>643</x:v>
      </x:c>
      <x:c r="H362" s="15" t="n">
        <x:v>0.6501388888888889</x:v>
      </x:c>
      <x:c r="I362" s="17" t="n">
        <x:f>ROUND((H362-E362)*86400,0)</x:f>
        <x:v>29</x:v>
      </x:c>
      <x:c r="J362" s="16" t="str">
        <x:v>14590247</x:v>
      </x:c>
      <x:c r="K362" s="13" t="str">
        <x:v>Hey, Makai, I don't know if you saw her. There's a redhead that just walked in the Home Depot. She has, like, a gray sweater and her hair up in, like, half a ponytail.</x:v>
      </x:c>
      <x:c r="L362" s="13" t="str">
        <x:v>Negative, [unclear]. I'm talking with the manager right now to see if we can get camera footage.</x:v>
      </x:c>
      <x:c r="M362" s="13" t="str">
        <x:v>Transcript association</x:v>
      </x:c>
      <x:c r="N362" s="13" t="str">
        <x:v>Owner confirmed addressed name as Makai on October 23. Reply follows the named hail; no independent audio review.</x:v>
      </x:c>
      <x:c r="O362" s="18" t="str">
        <x:v>Not reviewed</x:v>
      </x:c>
      <x:c r="P362" s="19" t="str">
        <x:v>https://afpd-accountability.com/records/openmhz/openmhz-afpd-car-to-car-2026-09-12/dcfems-6001-1789248943.m4a</x:v>
      </x:c>
      <x:c r="Q362" s="19" t="str">
        <x:v>https://afpd-accountability.com/records/openmhz/openmhz-afpd-car-to-car-2026-09-12/dcfems-6001-1789248972.m4a</x:v>
      </x:c>
      <x:c r="R362" s="19" t="str">
        <x:v>https://afpd-accountability.com/police-radio/?date=2026-09-12</x:v>
      </x:c>
      <x:c r="S362" s="13" t="n">
        <x:v>29</x:v>
      </x:c>
    </x:row>
    <x:row r="363" ht="82" customHeight="1">
      <x:c r="A363" s="13" t="str">
        <x:v>E356</x:v>
      </x:c>
      <x:c r="B363" s="13" t="str">
        <x:v>Makai / Kelepi</x:v>
      </x:c>
      <x:c r="C363" s="14" t="n">
        <x:v>46291</x:v>
      </x:c>
      <x:c r="D363" s="13" t="n">
        <x:v>98</x:v>
      </x:c>
      <x:c r="E363" s="15" t="n">
        <x:v>0.3010185185185185</x:v>
      </x:c>
      <x:c r="F363" s="16" t="str">
        <x:v>14590087</x:v>
      </x:c>
      <x:c r="G363" s="13" t="n">
        <x:v>99</x:v>
      </x:c>
      <x:c r="H363" s="15" t="n">
        <x:v>0.3011226851851852</x:v>
      </x:c>
      <x:c r="I363" s="17" t="n">
        <x:f>ROUND((H363-E363)*86400,0)</x:f>
        <x:v>9</x:v>
      </x:c>
      <x:c r="J363" s="16" t="str">
        <x:v>14590247</x:v>
      </x:c>
      <x:c r="K363" s="13" t="str">
        <x:v>Makai, you want some help on your call?</x:v>
      </x:c>
      <x:c r="L363" s="13" t="str">
        <x:v>Okay, I just cleared the shed. I'm making contact with someone at [USBC / SBC?] right now. It looks like someone backed [the / their?] vehicle into this shed.</x:v>
      </x:c>
      <x:c r="M363" s="13" t="str">
        <x:v>Transcript association</x:v>
      </x:c>
      <x:c r="N363" s="13" t="str">
        <x:v>Owner confirmed addressed name as Makai on October 23. Reply follows the named hail; no independent audio review.</x:v>
      </x:c>
      <x:c r="O363" s="18" t="str">
        <x:v>Not reviewed</x:v>
      </x:c>
      <x:c r="P363" s="19" t="str">
        <x:v>https://afpd-accountability.com/records/openmhz/openmhz-afpd-car-to-car-2026-09-26/dcfems-6001-1790428408.m4a</x:v>
      </x:c>
      <x:c r="Q363" s="19" t="str">
        <x:v>https://afpd-accountability.com/records/openmhz/openmhz-afpd-car-to-car-2026-09-26/dcfems-6001-1790428417.m4a</x:v>
      </x:c>
      <x:c r="R363" s="19" t="str">
        <x:v>https://afpd-accountability.com/police-radio/?date=2026-09-26</x:v>
      </x:c>
      <x:c r="S363" s="13" t="n">
        <x:v>9</x:v>
      </x:c>
    </x:row>
    <x:row r="364" ht="82" customHeight="1">
      <x:c r="A364" s="13" t="str">
        <x:v>E357</x:v>
      </x:c>
      <x:c r="B364" s="13" t="str">
        <x:v>Makai / Kelepi</x:v>
      </x:c>
      <x:c r="C364" s="14" t="n">
        <x:v>46296</x:v>
      </x:c>
      <x:c r="D364" s="13" t="n">
        <x:v>114</x:v>
      </x:c>
      <x:c r="E364" s="15" t="n">
        <x:v>0.6967129629629629</x:v>
      </x:c>
      <x:c r="F364" s="16" t="str">
        <x:v>14590087</x:v>
      </x:c>
      <x:c r="G364" s="13" t="n">
        <x:v>115</x:v>
      </x:c>
      <x:c r="H364" s="15" t="n">
        <x:v>0.6967824074074074</x:v>
      </x:c>
      <x:c r="I364" s="17" t="n">
        <x:f>ROUND((H364-E364)*86400,0)</x:f>
        <x:v>6</x:v>
      </x:c>
      <x:c r="J364" s="16" t="str">
        <x:v>14590247</x:v>
      </x:c>
      <x:c r="K364" s="13" t="str">
        <x:v>Hey, Makai, are you at the trailer park?</x:v>
      </x:c>
      <x:c r="L364" s="13" t="str">
        <x:v>[Okay?]</x:v>
      </x:c>
      <x:c r="M364" s="13" t="str">
        <x:v>Transcript association</x:v>
      </x:c>
      <x:c r="N364" s="13" t="str">
        <x:v>Owner confirmed addressed name as Makai. Reply is only [Okay?], so responder attribution remains weak. No independent audio review.</x:v>
      </x:c>
      <x:c r="O364" s="18" t="str">
        <x:v>Not reviewed</x:v>
      </x:c>
      <x:c r="P364" s="19" t="str">
        <x:v>https://afpd-accountability.com/records/openmhz/openmhz-afpd-car-to-car-2026-10-01/dcfems-6001-1790894596.m4a</x:v>
      </x:c>
      <x:c r="Q364" s="19" t="str">
        <x:v>https://afpd-accountability.com/records/openmhz/openmhz-afpd-car-to-car-2026-10-01/dcfems-6001-1790894602.m4a</x:v>
      </x:c>
      <x:c r="R364" s="19" t="str">
        <x:v>https://afpd-accountability.com/police-radio/?date=2026-10-01</x:v>
      </x:c>
      <x:c r="S364" s="13" t="n">
        <x:v>6</x:v>
      </x:c>
    </x:row>
    <x:row r="365">
      <x:c r="A365" s="13" t="str">
        <x:v>E358</x:v>
      </x:c>
      <x:c r="B365" s="13" t="str">
        <x:v>Tanner / T-Ball / G-Ball</x:v>
      </x:c>
      <x:c r="C365" s="14" t="n">
        <x:v>46284</x:v>
      </x:c>
      <x:c r="D365" s="13" t="n">
        <x:v>12</x:v>
      </x:c>
      <x:c r="E365" s="15" t="n">
        <x:v>0.085625</x:v>
      </x:c>
      <x:c r="F365" s="16" t="str">
        <x:v>14590073</x:v>
      </x:c>
      <x:c r="G365" s="13" t="n">
        <x:v>13</x:v>
      </x:c>
      <x:c r="H365" s="15" t="n">
        <x:v>0.08570601851851851</x:v>
      </x:c>
      <x:c r="I365" s="17" t="n">
        <x:f>ROUND((H365-E365)*86400,0)</x:f>
        <x:v>7</x:v>
      </x:c>
      <x:c r="J365" s="16" t="str">
        <x:v>14580151</x:v>
      </x:c>
      <x:c r="K365" s="13" t="str">
        <x:v>[T-ball?], if you want to stop that truck, I can take this alarm.</x:v>
      </x:c>
      <x:c r="L365" s="13" t="str">
        <x:v>That would be great. Thank you.</x:v>
      </x:c>
      <x:c r="M365" s="13" t="str">
        <x:v>Named response association</x:v>
      </x:c>
      <x:c r="N365" s="13" t="str">
        <x:v>Owner identifies Tanner, T-Ball and G-Ball as Tanner Ballamis. Archive verification: question unverified, reply unverified. No independent audio review for this workbook update.</x:v>
      </x:c>
      <x:c r="O365" s="18" t="str">
        <x:v>Owner identification</x:v>
      </x:c>
      <x:c r="P365" s="19" t="str">
        <x:v>https://media.afpd-accountability.com/records/openmhz/openmhz-afpd-car-to-car-2026-09-19/dcfems-6001-1789804998.m4a</x:v>
      </x:c>
      <x:c r="Q365" s="19" t="str">
        <x:v>https://media.afpd-accountability.com/records/openmhz/openmhz-afpd-car-to-car-2026-09-19/dcfems-6001-1789805005.m4a</x:v>
      </x:c>
      <x:c r="R365" s="19" t="str">
        <x:v>https://afpd-accountability.com/police-radio/?date=2026-09-19</x:v>
      </x:c>
      <x:c r="S365" s="13" t="n">
        <x:v>7</x:v>
      </x:c>
    </x:row>
    <x:row r="366">
      <x:c r="A366" s="13" t="str">
        <x:v>E359</x:v>
      </x:c>
      <x:c r="B366" s="13" t="str">
        <x:v>Tanner / T-Ball / G-Ball</x:v>
      </x:c>
      <x:c r="C366" s="14" t="n">
        <x:v>46284</x:v>
      </x:c>
      <x:c r="D366" s="13" t="n">
        <x:v>73</x:v>
      </x:c>
      <x:c r="E366" s="15" t="n">
        <x:v>0.7708101851851852</x:v>
      </x:c>
      <x:c r="F366" s="16" t="str">
        <x:v>14590073</x:v>
      </x:c>
      <x:c r="G366" s="13" t="n">
        <x:v>74</x:v>
      </x:c>
      <x:c r="H366" s="15" t="n">
        <x:v>0.7709953703703704</x:v>
      </x:c>
      <x:c r="I366" s="17" t="n">
        <x:f>ROUND((H366-E366)*86400,0)</x:f>
        <x:v>16</x:v>
      </x:c>
      <x:c r="J366" s="16" t="str">
        <x:v>14580151</x:v>
      </x:c>
      <x:c r="K366" s="13" t="str">
        <x:v>Hey, [T-ball?], so it’s not a residence, it’s a commercial office, and I just got off the phone with RP. If it’s open, he wants us to clear it.</x:v>
      </x:c>
      <x:c r="L366" s="13" t="str">
        <x:v>Sounds good.</x:v>
      </x:c>
      <x:c r="M366" s="13" t="str">
        <x:v>Named response association</x:v>
      </x:c>
      <x:c r="N366" s="13" t="str">
        <x:v>Owner identifies Tanner, T-Ball and G-Ball as Tanner Ballamis. Archive verification: question unverified, reply unverified. No independent audio review for this workbook update.</x:v>
      </x:c>
      <x:c r="O366" s="18" t="str">
        <x:v>Owner identification</x:v>
      </x:c>
      <x:c r="P366" s="19" t="str">
        <x:v>https://media.afpd-accountability.com/records/openmhz/openmhz-afpd-car-to-car-2026-09-19/dcfems-6001-1789864198.m4a</x:v>
      </x:c>
      <x:c r="Q366" s="19" t="str">
        <x:v>https://media.afpd-accountability.com/records/openmhz/openmhz-afpd-car-to-car-2026-09-19/dcfems-6001-1789864214.m4a</x:v>
      </x:c>
      <x:c r="R366" s="19" t="str">
        <x:v>https://afpd-accountability.com/police-radio/?date=2026-09-19</x:v>
      </x:c>
      <x:c r="S366" s="13" t="n">
        <x:v>16</x:v>
      </x:c>
    </x:row>
    <x:row r="367">
      <x:c r="A367" s="13" t="str">
        <x:v>E360</x:v>
      </x:c>
      <x:c r="B367" s="13" t="str">
        <x:v>Tanner / T-Ball / G-Ball</x:v>
      </x:c>
      <x:c r="C367" s="14" t="n">
        <x:v>46284</x:v>
      </x:c>
      <x:c r="D367" s="13" t="n">
        <x:v>101</x:v>
      </x:c>
      <x:c r="E367" s="15" t="n">
        <x:v>0.8257291666666666</x:v>
      </x:c>
      <x:c r="F367" s="16" t="str">
        <x:v>14590073</x:v>
      </x:c>
      <x:c r="G367" s="13" t="n">
        <x:v>102</x:v>
      </x:c>
      <x:c r="H367" s="15" t="n">
        <x:v>0.8258449074074075</x:v>
      </x:c>
      <x:c r="I367" s="17" t="n">
        <x:f>ROUND((H367-E367)*86400,0)</x:f>
        <x:v>10</x:v>
      </x:c>
      <x:c r="J367" s="16" t="str">
        <x:v>14580151</x:v>
      </x:c>
      <x:c r="K367" s="13" t="str">
        <x:v>[T-ball?], [what’s?] your 20?</x:v>
      </x:c>
      <x:c r="L367" s="13" t="str">
        <x:v>[100 East and Main?]</x:v>
      </x:c>
      <x:c r="M367" s="13" t="str">
        <x:v>Named response association</x:v>
      </x:c>
      <x:c r="N367" s="13" t="str">
        <x:v>Owner identifies Tanner, T-Ball and G-Ball as Tanner Ballamis. Archive verification: question unverified, reply unverified. No independent audio review for this workbook update.</x:v>
      </x:c>
      <x:c r="O367" s="18" t="str">
        <x:v>Owner identification</x:v>
      </x:c>
      <x:c r="P367" s="19" t="str">
        <x:v>https://media.afpd-accountability.com/records/openmhz/openmhz-afpd-car-to-car-2026-09-19/dcfems-6001-1789868943.m4a</x:v>
      </x:c>
      <x:c r="Q367" s="19" t="str">
        <x:v>https://media.afpd-accountability.com/records/openmhz/openmhz-afpd-car-to-car-2026-09-19/dcfems-6001-1789868953.m4a</x:v>
      </x:c>
      <x:c r="R367" s="19" t="str">
        <x:v>https://afpd-accountability.com/police-radio/?date=2026-09-19</x:v>
      </x:c>
      <x:c r="S367" s="13" t="n">
        <x:v>10</x:v>
      </x:c>
    </x:row>
    <x:row r="368">
      <x:c r="A368" s="13" t="str">
        <x:v>E361</x:v>
      </x:c>
      <x:c r="B368" s="13" t="str">
        <x:v>Tanner / T-Ball / G-Ball</x:v>
      </x:c>
      <x:c r="C368" s="14" t="n">
        <x:v>46284</x:v>
      </x:c>
      <x:c r="D368" s="13" t="n">
        <x:v>116</x:v>
      </x:c>
      <x:c r="E368" s="15" t="n">
        <x:v>0.8812152777777778</x:v>
      </x:c>
      <x:c r="F368" s="16" t="str">
        <x:v>14590114</x:v>
      </x:c>
      <x:c r="G368" s="13" t="n">
        <x:v>117</x:v>
      </x:c>
      <x:c r="H368" s="15" t="n">
        <x:v>0.8812847222222222</x:v>
      </x:c>
      <x:c r="I368" s="17" t="n">
        <x:f>ROUND((H368-E368)*86400,0)</x:f>
        <x:v>6</x:v>
      </x:c>
      <x:c r="J368" s="16" t="str">
        <x:v>14580151</x:v>
      </x:c>
      <x:c r="K368" s="13" t="str">
        <x:v>Hey [T-ball?], what’s going on?</x:v>
      </x:c>
      <x:c r="L368" s="13" t="str">
        <x:v>[I’m/we’re?] turning onto Center Street now.</x:v>
      </x:c>
      <x:c r="M368" s="13" t="str">
        <x:v>Named response association</x:v>
      </x:c>
      <x:c r="N368" s="13" t="str">
        <x:v>Owner identifies Tanner, T-Ball and G-Ball as Tanner Ballamis. Archive verification: question unverified, reply unverified. No independent audio review for this workbook update.</x:v>
      </x:c>
      <x:c r="O368" s="18" t="str">
        <x:v>Owner identification</x:v>
      </x:c>
      <x:c r="P368" s="19" t="str">
        <x:v>https://media.afpd-accountability.com/records/openmhz/openmhz-afpd-car-to-car-2026-09-19/dcfems-6001-1789873737.m4a</x:v>
      </x:c>
      <x:c r="Q368" s="19" t="str">
        <x:v>https://media.afpd-accountability.com/records/openmhz/openmhz-afpd-car-to-car-2026-09-19/dcfems-6001-1789873743.m4a</x:v>
      </x:c>
      <x:c r="R368" s="19" t="str">
        <x:v>https://afpd-accountability.com/police-radio/?date=2026-09-19</x:v>
      </x:c>
      <x:c r="S368" s="13" t="n">
        <x:v>6</x:v>
      </x:c>
    </x:row>
    <x:row r="369">
      <x:c r="A369" s="13" t="str">
        <x:v>E362</x:v>
      </x:c>
      <x:c r="B369" s="13" t="str">
        <x:v>Tanner / T-Ball / G-Ball</x:v>
      </x:c>
      <x:c r="C369" s="14" t="n">
        <x:v>46298</x:v>
      </x:c>
      <x:c r="D369" s="13" t="n">
        <x:v>25</x:v>
      </x:c>
      <x:c r="E369" s="15" t="n">
        <x:v>0.0425462962962963</x:v>
      </x:c>
      <x:c r="F369" s="16" t="str">
        <x:v>14590114</x:v>
      </x:c>
      <x:c r="G369" s="13" t="n">
        <x:v>26</x:v>
      </x:c>
      <x:c r="H369" s="15" t="n">
        <x:v>0.042638888888888886</x:v>
      </x:c>
      <x:c r="I369" s="17" t="n">
        <x:f>ROUND((H369-E369)*86400,0)</x:f>
        <x:v>8</x:v>
      </x:c>
      <x:c r="J369" s="16" t="str">
        <x:v>14580151</x:v>
      </x:c>
      <x:c r="K369" s="13" t="str">
        <x:v>Get [him / them], T-ball.</x:v>
      </x:c>
      <x:c r="L369" s="13" t="str">
        <x:v>On it.</x:v>
      </x:c>
      <x:c r="M369" s="13" t="str">
        <x:v>Named response association</x:v>
      </x:c>
      <x:c r="N369" s="13" t="str">
        <x:v>Owner identifies Tanner, T-Ball and G-Ball as Tanner Ballamis. Archive verification: question unverified, reply unverified. No independent audio review for this workbook update.</x:v>
      </x:c>
      <x:c r="O369" s="18" t="str">
        <x:v>Owner identification</x:v>
      </x:c>
      <x:c r="P369" s="19" t="str">
        <x:v>https://media.afpd-accountability.com/records/openmhz/openmhz-afpd-car-to-car-2026-10-03/dcfems-6001-1791010876.m4a</x:v>
      </x:c>
      <x:c r="Q369" s="19" t="str">
        <x:v>https://media.afpd-accountability.com/records/openmhz/openmhz-afpd-car-to-car-2026-10-03/dcfems-6001-1791010884.m4a</x:v>
      </x:c>
      <x:c r="R369" s="19" t="str">
        <x:v>https://afpd-accountability.com/police-radio/?date=2026-10-03</x:v>
      </x:c>
      <x:c r="S369" s="13" t="n">
        <x:v>8</x:v>
      </x:c>
    </x:row>
    <x:row r="370">
      <x:c r="A370" s="13" t="str">
        <x:v>E363</x:v>
      </x:c>
      <x:c r="B370" s="13" t="str">
        <x:v>Tanner / T-Ball / G-Ball</x:v>
      </x:c>
      <x:c r="C370" s="14" t="n">
        <x:v>46316</x:v>
      </x:c>
      <x:c r="D370" s="13" t="n">
        <x:v>91</x:v>
      </x:c>
      <x:c r="E370" s="15" t="n">
        <x:v>0.7766898148148148</x:v>
      </x:c>
      <x:c r="F370" s="16" t="str">
        <x:v>14590073</x:v>
      </x:c>
      <x:c r="G370" s="13" t="n">
        <x:v>92</x:v>
      </x:c>
      <x:c r="H370" s="15" t="n">
        <x:v>0.7770717592592593</x:v>
      </x:c>
      <x:c r="I370" s="17" t="n">
        <x:f>ROUND((H370-E370)*86400,0)</x:f>
        <x:v>33</x:v>
      </x:c>
      <x:c r="J370" s="16" t="str">
        <x:v>14580151</x:v>
      </x:c>
      <x:c r="K370" s="13" t="str">
        <x:v>T-ball, will you confirm Lizzie's name, spelling, everything?</x:v>
      </x:c>
      <x:c r="L370" s="13" t="str">
        <x:v>Her real name is Elizabeth.</x:v>
      </x:c>
      <x:c r="M370" s="13" t="str">
        <x:v>Named response association</x:v>
      </x:c>
      <x:c r="N370" s="13" t="str">
        <x:v>Owner identifies Tanner, T-Ball and G-Ball as Tanner Ballamis. Archive verification: question verified, reply verified. No independent audio review for this workbook update.</x:v>
      </x:c>
      <x:c r="O370" s="18" t="str">
        <x:v>Owner identification</x:v>
      </x:c>
      <x:c r="P370" s="19" t="str">
        <x:v>https://media.afpd-accountability.com/records/openmhz/openmhz-afpd-car-to-car-2026-10-21/dcfems-6001-1792629506.m4a</x:v>
      </x:c>
      <x:c r="Q370" s="19" t="str">
        <x:v>https://media.afpd-accountability.com/records/openmhz/openmhz-afpd-car-to-car-2026-10-21/dcfems-6001-1792629539.m4a</x:v>
      </x:c>
      <x:c r="R370" s="19" t="str">
        <x:v>https://afpd-accountability.com/police-radio/?date=2026-10-21</x:v>
      </x:c>
      <x:c r="S370" s="13" t="n">
        <x:v>33</x:v>
      </x:c>
    </x:row>
    <x:row r="371">
      <x:c r="A371" s="13" t="str">
        <x:v>E364</x:v>
      </x:c>
      <x:c r="B371" s="13" t="str">
        <x:v>Tanner / T-Ball / G-Ball</x:v>
      </x:c>
      <x:c r="C371" s="14" t="n">
        <x:v>46316</x:v>
      </x:c>
      <x:c r="D371" s="13" t="n">
        <x:v>96</x:v>
      </x:c>
      <x:c r="E371" s="15" t="n">
        <x:v>0.7788541666666666</x:v>
      </x:c>
      <x:c r="F371" s="16" t="str">
        <x:v>14590073</x:v>
      </x:c>
      <x:c r="G371" s="13" t="n">
        <x:v>97</x:v>
      </x:c>
      <x:c r="H371" s="15" t="n">
        <x:v>0.7797337962962962</x:v>
      </x:c>
      <x:c r="I371" s="17" t="n">
        <x:f>ROUND((H371-E371)*86400,0)</x:f>
        <x:v>76</x:v>
      </x:c>
      <x:c r="J371" s="16" t="str">
        <x:v>14580151</x:v>
      </x:c>
      <x:c r="K371" s="13" t="str">
        <x:v>Okay Tanner, just one more. Will you confirm Britain's info?</x:v>
      </x:c>
      <x:c r="L371" s="13" t="str">
        <x:v>So last name is R-E-A-D. I heard him wrong.[unclear]. That's my bad.</x:v>
      </x:c>
      <x:c r="M371" s="13" t="str">
        <x:v>Named response association</x:v>
      </x:c>
      <x:c r="N371" s="13" t="str">
        <x:v>Owner identifies Tanner, T-Ball and G-Ball as Tanner Ballamis. Archive verification: question verified, reply verified. No independent audio review for this workbook update.</x:v>
      </x:c>
      <x:c r="O371" s="18" t="str">
        <x:v>Owner identification</x:v>
      </x:c>
      <x:c r="P371" s="19" t="str">
        <x:v>https://media.afpd-accountability.com/records/openmhz/openmhz-afpd-car-to-car-2026-10-21/dcfems-6001-1792629693.m4a</x:v>
      </x:c>
      <x:c r="Q371" s="19" t="str">
        <x:v>https://media.afpd-accountability.com/records/openmhz/openmhz-afpd-car-to-car-2026-10-21/dcfems-6001-1792629769.m4a</x:v>
      </x:c>
      <x:c r="R371" s="19" t="str">
        <x:v>https://afpd-accountability.com/police-radio/?date=2026-10-21</x:v>
      </x:c>
      <x:c r="S371" s="13" t="n">
        <x:v>76</x:v>
      </x:c>
    </x:row>
  </x:sheetData>
  <x:dataValidations count="1">
    <x:dataValidation type="list" sqref="O8:O346">
      <x:formula1>"Not reviewed,Reviewed; supports association,Reviewed; unresolved,Reviewed; reject association"</x:formula1>
    </x:dataValidation>
  </x:dataValidations>
  <x:pageMargins left="0.7" right="0.7" top="0.75" bottom="0.75" header="0.3" footer="0.3"/>
  <x:tableParts count="1">
    <x:tablePart xmlns:r="http://schemas.openxmlformats.org/officeDocument/2006/relationships" r:id="Rf72f5adf98714fe9"/>
  </x:tableParts>
</x:worksheet>
</file>

<file path=xl/worksheets/sheet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1.109999656677246" hidden="0" customWidth="1"/>
    <x:col min="2" max="2" width="7.78000020980835" hidden="0" customWidth="1"/>
    <x:col min="3" max="3" width="66.66999816894531" hidden="0" customWidth="1"/>
    <x:col min="4" max="4" width="80" hidden="0" customWidth="1"/>
    <x:col min="5" max="5" width="68.88999938964844" hidden="0" customWidth="1"/>
    <x:col min="6" max="6" width="68.88999938964844" hidden="0" customWidth="1"/>
  </x:cols>
  <x:sheetData>
    <x:row r="1">
      <x:c r="A1" s="2"/>
      <x:c r="B1" s="2"/>
      <x:c r="C1" s="2"/>
      <x:c r="D1" s="2"/>
      <x:c r="E1" s="2"/>
      <x:c r="F1" s="2"/>
    </x:row>
    <x:row r="2">
      <x:c r="A2" s="3" t="str">
        <x:v>Exchanges not used as identity matches</x:v>
      </x:c>
      <x:c r="B2" s="2"/>
      <x:c r="C2" s="2"/>
      <x:c r="D2" s="2"/>
      <x:c r="E2" s="2"/>
      <x:c r="F2" s="2"/>
    </x:row>
    <x:row r="3">
      <x:c r="A3" s="4"/>
      <x:c r="B3" s="4"/>
      <x:c r="C3" s="4"/>
      <x:c r="D3" s="4"/>
      <x:c r="E3" s="4"/>
      <x:c r="F3" s="4"/>
    </x:row>
    <x:row r="4">
      <x:c r="A4" s="5" t="str">
        <x:v>These examples show why the next transmission alone is not enough to identify a speaker.</x:v>
      </x:c>
      <x:c r="B4" s="2"/>
      <x:c r="C4" s="2"/>
      <x:c r="D4" s="2"/>
      <x:c r="E4" s="2"/>
      <x:c r="F4" s="2"/>
    </x:row>
    <x:row r="5">
      <x:c r="A5" s="2"/>
      <x:c r="B5" s="2"/>
      <x:c r="C5" s="2"/>
      <x:c r="D5" s="2"/>
      <x:c r="E5" s="2"/>
      <x:c r="F5" s="2"/>
    </x:row>
    <x:row r="6">
      <x:c r="A6" s="2"/>
      <x:c r="B6" s="2"/>
      <x:c r="C6" s="2"/>
      <x:c r="D6" s="2"/>
      <x:c r="E6" s="2"/>
      <x:c r="F6" s="2"/>
    </x:row>
    <x:row r="7" ht="32" customHeight="1">
      <x:c r="A7" s="9" t="str">
        <x:v>Date</x:v>
      </x:c>
      <x:c r="B7" s="9" t="str">
        <x:v>Clip</x:v>
      </x:c>
      <x:c r="C7" s="9" t="str">
        <x:v>Address / comment</x:v>
      </x:c>
      <x:c r="D7" s="9" t="str">
        <x:v>Following transmission(s)</x:v>
      </x:c>
      <x:c r="E7" s="9" t="str">
        <x:v>Reason excluded</x:v>
      </x:c>
      <x:c r="F7" s="9" t="str">
        <x:v>Audio</x:v>
      </x:c>
    </x:row>
    <x:row r="8" ht="100" customHeight="1">
      <x:c r="A8" s="14" t="n">
        <x:v>46292</x:v>
      </x:c>
      <x:c r="B8" s="13" t="n">
        <x:v>27</x:v>
      </x:c>
      <x:c r="C8" s="13" t="str">
        <x:v>Sorry I answered for Mitch. I think he's inside, bro. I'll go ask him [for you if you need me?]</x:v>
      </x:c>
      <x:c r="D8" s="13" t="str">
        <x:v>#28 04:55:13 [14590045] I don't know if I went through. || #29 04:55:19 [14590123] [I copy, language?]</x:v>
      </x:c>
      <x:c r="E8" s="13" t="str">
        <x:v>Speaker explicitly says he answered for Mitch. Do not identify the answering radio as Mitch.</x:v>
      </x:c>
      <x:c r="F8" s="13" t="str">
        <x:v>https://afpd-accountability.com/records/openmhz/openmhz-afpd-car-to-car-2026-09-27/dcfems-6001-1790506381.m4a</x:v>
      </x:c>
    </x:row>
    <x:row r="9" ht="100" customHeight="1">
      <x:c r="A9" s="14" t="n">
        <x:v>46315</x:v>
      </x:c>
      <x:c r="B9" s="13" t="n">
        <x:v>108</x:v>
      </x:c>
      <x:c r="C9" s="13" t="str">
        <x:v>Godfrey?</x:v>
      </x:c>
      <x:c r="D9" s="13" t="str">
        <x:v>#109 18:19:20 [14580155] Copy || #110 18:20:43 [14590313] Yeah, there was an email sent out stating that we would have problems all night until the morning shift.</x:v>
      </x:c>
      <x:c r="E9" s="13" t="str">
        <x:v>Godfrey hail gets a short Copy from an ID repeatedly associated with Cox. Could be ASR error or another officer responding.</x:v>
      </x:c>
      <x:c r="F9" s="13" t="str">
        <x:v>https://afpd-accountability.com/records/openmhz/openmhz-afpd-car-to-car-2026-10-20/dcfems-6001-1792541957.m4a</x:v>
      </x:c>
    </x:row>
    <x:row r="10" ht="100" customHeight="1">
      <x:c r="A10" s="14" t="n">
        <x:v>46306</x:v>
      </x:c>
      <x:c r="B10" s="13" t="n">
        <x:v>233</x:v>
      </x:c>
      <x:c r="C10" s="13" t="str">
        <x:v>[Richardson?], where are you?</x:v>
      </x:c>
      <x:c r="D10" s="13" t="str">
        <x:v>#234 17:35:46 [14590031] Good, I [don't / didn't?] need it anyways. || #235 17:36:05 [14590111] Go ahead, [Cole?].</x:v>
      </x:c>
      <x:c r="E10" s="13" t="str">
        <x:v>Richardson hail is followed by an unrelated reply about not needing something. Do not assign 14590031 to Richardson.</x:v>
      </x:c>
      <x:c r="F10" s="13" t="str">
        <x:v>https://afpd-accountability.com/records/openmhz/openmhz-afpd-car-to-car-2026-10-11/dcfems-6001-1791761742.m4a</x:v>
      </x:c>
    </x:row>
    <x:row r="11" ht="100" customHeight="1">
      <x:c r="A11" s="14" t="n">
        <x:v>46287</x:v>
      </x:c>
      <x:c r="B11" s="13" t="n">
        <x:v>464</x:v>
      </x:c>
      <x:c r="C11" s="13" t="str">
        <x:v>We had visual. I heard him yelling at her when I was literally trying to talk to you guys at the same time, and he was yelling at her with the mom. And I guess she took off, but I'm still not understanding exactly where she fled to. She didn't get in the vehicle, so where... the mom's over here in this neighborhood walking around looking for... I don't know what's really going on, to be honest. Gotcha, me and [Tonga/Tong?] are coming up North County right now, so we'll split off and start. I assume she didn't cross the street; she's still on the east side of North County.</x:v>
      </x:c>
      <x:c r="D11" s="13" t="str">
        <x:v>#465 21:21:39 [14590344] Hey, [name unclear], do you know exactly what parents are wanting us to do or are asking of us? || #466 21:22:43 [14590045] Yeah, I'm on here. I'm talking to the parents right now. I'm making contact at [street name unclear] and North County Boulevard.</x:v>
      </x:c>
      <x:c r="E11" s="13" t="str">
        <x:v>One recording contains two source radios and two speakers. A single file is not necessarily a single speaker.</x:v>
      </x:c>
      <x:c r="F11" s="13" t="str">
        <x:v>https://afpd-accountability.com/records/openmhz/openmhz-afpd-car-to-car-2026-09-22/dcfems-6001-1790133637.m4a</x:v>
      </x:c>
    </x:row>
    <x:row r="12" ht="100" customHeight="1">
      <x:c r="A12" s="14" t="n">
        <x:v>46299</x:v>
      </x:c>
      <x:c r="B12" s="13" t="n">
        <x:v>47</x:v>
      </x:c>
      <x:c r="C12" s="13" t="str">
        <x:v>[unclear] Kevin.</x:v>
      </x:c>
      <x:c r="D12" s="13" t="str">
        <x:v>#48 09:07:24 [14590170] Yeah, yeah. Are we going to the [location unclear] or where? || #49 09:07:33 [14590170] So I'll be there in 30 seconds.</x:v>
      </x:c>
      <x:c r="E12" s="13" t="str">
        <x:v>The transcript mentions Kevin, but the next reply is about lunch. No identity association assigned.</x:v>
      </x:c>
      <x:c r="F12" s="13" t="str">
        <x:v>https://afpd-accountability.com/records/openmhz/openmhz-afpd-car-to-car-2026-10-04/dcfems-6001-1791126440.m4a</x:v>
      </x:c>
    </x:row>
    <x:row r="13" ht="100" customHeight="1">
      <x:c r="A13" s="14" t="n">
        <x:v>46315</x:v>
      </x:c>
      <x:c r="B13" s="13" t="n">
        <x:v>115</x:v>
      </x:c>
      <x:c r="C13" s="13" t="str">
        <x:v>Hey Mitch, no arrest is gonna take place. The kids are gonna go get an overnight bag, and dad wants me to stay just to keep the peace, so I think you're good to clear if you want. Copy.</x:v>
      </x:c>
      <x:c r="D13" s="13" t="str">
        <x:v>#116 19:09:25 [14590344] You guys go for it. || #117 19:09:39 [14590344] All right, I'm going to jet.</x:v>
      </x:c>
      <x:c r="E13" s="13" t="str">
        <x:v>Question and Copy are combined in one clip with two radio IDs. Speaker-to-ID mapping is not established.</x:v>
      </x:c>
      <x:c r="F13" s="13" t="str">
        <x:v>https://afpd-accountability.com/records/openmhz/openmhz-afpd-car-to-car-2026-10-20/dcfems-6001-1792544583.m4a</x:v>
      </x:c>
    </x:row>
    <x:row r="14" ht="100" customHeight="1">
      <x:c r="A14" s="14" t="n">
        <x:v>46291</x:v>
      </x:c>
      <x:c r="B14" s="13" t="n">
        <x:v>81</x:v>
      </x:c>
      <x:c r="C14" s="13" t="str">
        <x:v>[Rencher?], are you out with [Tonga?] yet?</x:v>
      </x:c>
      <x:c r="D14" s="13" t="str">
        <x:v>#82 05:57:17 [14590038] Sorry, I, uh, we made contact. It's just [Kaitlyn Willis?]. It's not who we're looking for, so [unclear] still outstanding. || #83 05:57:26 [14590111] [Copy / got it?]</x:v>
      </x:c>
      <x:c r="E14" s="13" t="str">
        <x:v>A question addressed to Renter receives a reply from an ID associated with Tonga. The reply can concern a shared scene rather than the named addressee.</x:v>
      </x:c>
      <x:c r="F14" s="13" t="str">
        <x:v>https://afpd-accountability.com/records/openmhz/openmhz-afpd-car-to-car-2026-09-26/dcfems-6001-1790423832.m4a</x:v>
      </x:c>
    </x:row>
    <x:row r="15" ht="100" customHeight="1">
      <x:c r="A15" s="14" t="n">
        <x:v>46299</x:v>
      </x:c>
      <x:c r="B15" s="13" t="n">
        <x:v>131</x:v>
      </x:c>
      <x:c r="C15" s="13" t="str">
        <x:v>Jackie on here?</x:v>
      </x:c>
      <x:c r="D15" s="13" t="str">
        <x:v>#132 20:18:43 [14590073] Jackie. || #133 20:27:17 [14590085] Thank you very much.</x:v>
      </x:c>
      <x:c r="E15" s="13" t="str">
        <x:v>Jackie hail is followed by a radio repeating Jackie. Could be relaying the hail; not accepted as self-identification.</x:v>
      </x:c>
      <x:c r="F15" s="13" t="str">
        <x:v>https://afpd-accountability.com/records/openmhz/openmhz-afpd-car-to-car-2026-10-04/dcfems-6001-1791166713.m4a</x:v>
      </x:c>
    </x:row>
    <x:row r="16" ht="100" customHeight="1">
      <x:c r="A16" s="14" t="n">
        <x:v>46305</x:v>
      </x:c>
      <x:c r="B16" s="13" t="n">
        <x:v>31</x:v>
      </x:c>
      <x:c r="C16" s="13" t="str">
        <x:v>Hey, Cox and Richardson, I appreciate you guys for your advice. Thank you.</x:v>
      </x:c>
      <x:c r="D16" s="13" t="str">
        <x:v>#32 02:11:22 [14590123] [Hey dude, you're doing a good job / unclear wording], just obviously the CYA [stuff / unclear ending]. || #33 02:12:12 [14590020] [Unclear transmission; no reliable speech recovered.]</x:v>
      </x:c>
      <x:c r="E16" s="13" t="str">
        <x:v>Two officers are addressed together. A reply does not by itself distinguish Cox from Richardson; separate direct exchanges are used instead.</x:v>
      </x:c>
      <x:c r="F16" s="13" t="str">
        <x:v>https://afpd-accountability.com/records/openmhz/openmhz-afpd-car-to-car-2026-10-10/dcfems-6001-1791619875.m4a</x:v>
      </x:c>
    </x:row>
    <x:row r="17" ht="100" customHeight="1">
      <x:c r="A17" s="14" t="n">
        <x:v>46274</x:v>
      </x:c>
      <x:c r="B17" s="13" t="n">
        <x:v>2</x:v>
      </x:c>
      <x:c r="C17" s="13" t="str">
        <x:v>Greg, you can tell him he can sit back in the vehicle.</x:v>
      </x:c>
      <x:c r="D17" s="13" t="str">
        <x:v>#3 01:17:13 [] [static] || #4 01:17:15 [] If one of you guys have time, will you meet me at the address? Apartment Alpha 13. That's where the suspect lives. So the suspect lives... Holy moly. I'm gonna have a conversation with her.</x:v>
      </x:c>
      <x:c r="E17" s="13" t="str">
        <x:v>Name cue on September 9 has no available radio ID; cannot assign an ID from it.</x:v>
      </x:c>
      <x:c r="F17" s="13" t="str">
        <x:v>https://afpd-accountability.com/records/openmhz/openmhz-afpd-car-to-car-2026-09-09/dcfems-6001-1788937794.m4a</x:v>
      </x:c>
    </x:row>
    <x:row r="18">
      <x:c r="A18" s="14" t="n">
        <x:v>46317</x:v>
      </x:c>
      <x:c r="B18" s="13" t="n">
        <x:v>9</x:v>
      </x:c>
      <x:c r="C18" s="13" t="str">
        <x:v>Sam hail; following clips use the same ID.</x:v>
      </x:c>
      <x:c r="D18" s="13" t="str">
        <x:v>Clips 10–11 do not identify Sam.</x:v>
      </x:c>
      <x:c r="E18" s="13" t="str">
        <x:v>Same radio ID on question and reply; Mecham is mentioned in the third person.</x:v>
      </x:c>
      <x:c r="F18" s="13" t="str">
        <x:v>https://afpd-accountability.com/records/openmhz/openmhz-afpd-car-to-car-2026-10-22/dcfems-6001-1792675364.m4a</x:v>
      </x:c>
    </x:row>
    <x:row r="19">
      <x:c r="A19" s="14" t="n">
        <x:v>46317</x:v>
      </x:c>
      <x:c r="B19" s="13" t="n">
        <x:v>93</x:v>
      </x:c>
      <x:c r="C19" s="13" t="str">
        <x:v>Uncertain Neil hail.</x:v>
      </x:c>
      <x:c r="D19" s="13" t="str">
        <x:v>Next clip is 448 seconds later.</x:v>
      </x:c>
      <x:c r="E19" s="13" t="str">
        <x:v>Outside the 90-second selection window.</x:v>
      </x:c>
      <x:c r="F19" s="13" t="str">
        <x:v>https://afpd-accountability.com/records/openmhz/openmhz-afpd-car-to-car-2026-10-22/dcfems-6001-1792709518.m4a</x:v>
      </x:c>
    </x:row>
    <x:row r="20">
      <x:c r="A20" s="14" t="n">
        <x:v>46317</x:v>
      </x:c>
      <x:c r="B20" s="13" t="n">
        <x:v>143</x:v>
      </x:c>
      <x:c r="C20" s="13" t="str">
        <x:v>Uncertain Pablo hail.</x:v>
      </x:c>
      <x:c r="D20" s="13" t="str">
        <x:v>Next clip addresses Somerville 129 seconds later.</x:v>
      </x:c>
      <x:c r="E20" s="13" t="str">
        <x:v>No timely named response.</x:v>
      </x:c>
      <x:c r="F20" s="13" t="str">
        <x:v>https://afpd-accountability.com/records/openmhz/openmhz-afpd-car-to-car-2026-10-22/dcfems-6001-1792712494.m4a</x:v>
      </x:c>
    </x:row>
    <x:row r="21">
      <x:c r="A21" s="14" t="n">
        <x:v>46317</x:v>
      </x:c>
      <x:c r="B21" s="13" t="n">
        <x:v>158</x:v>
      </x:c>
      <x:c r="C21" s="13" t="str">
        <x:v>Uncertain Poppy request to retrieve a shield.</x:v>
      </x:c>
      <x:c r="D21" s="13" t="str">
        <x:v>Clip 159 is an unclear response.</x:v>
      </x:c>
      <x:c r="E21" s="13" t="str">
        <x:v>Both name and acknowledgment are too uncertain for a useful identity match.</x:v>
      </x:c>
      <x:c r="F21" s="13" t="str">
        <x:v>https://afpd-accountability.com/records/openmhz/openmhz-afpd-car-to-car-2026-10-22/dcfems-6001-1792713677.m4a</x:v>
      </x:c>
    </x:row>
    <x:row r="22">
      <x:c r="A22" s="14" t="n">
        <x:v>46317</x:v>
      </x:c>
      <x:c r="B22" s="13" t="n">
        <x:v>166</x:v>
      </x:c>
      <x:c r="C22" s="13" t="str">
        <x:v>Uncertain David direction.</x:v>
      </x:c>
      <x:c r="D22" s="13" t="str">
        <x:v>Clip 167 has an unclear acknowledgment; later door directions involve multiple radios.</x:v>
      </x:c>
      <x:c r="E22" s="13" t="str">
        <x:v>Unclear acknowledgment and multiple possible responders.</x:v>
      </x:c>
      <x:c r="F22" s="13" t="str">
        <x:v>https://afpd-accountability.com/records/openmhz/openmhz-afpd-car-to-car-2026-10-22/dcfems-6001-1792719314.m4a</x:v>
      </x:c>
    </x:row>
    <x:row r="23">
      <x:c r="A23" s="14" t="n">
        <x:v>46317</x:v>
      </x:c>
      <x:c r="B23" s="13" t="n">
        <x:v>179</x:v>
      </x:c>
      <x:c r="C23" s="13" t="str">
        <x:v>Uncertain David door direction.</x:v>
      </x:c>
      <x:c r="D23" s="13" t="str">
        <x:v>Clip 180 reports an employee on standby.</x:v>
      </x:c>
      <x:c r="E23" s="13" t="str">
        <x:v>No clear direct answer to the named direction.</x:v>
      </x:c>
      <x:c r="F23" s="13" t="str">
        <x:v>https://afpd-accountability.com/records/openmhz/openmhz-afpd-car-to-car-2026-10-22/dcfems-6001-1792719590.m4a</x:v>
      </x:c>
    </x:row>
    <x:row r="24">
      <x:c r="A24" s="14" t="n">
        <x:v>46317</x:v>
      </x:c>
      <x:c r="B24" s="13" t="n">
        <x:v>182</x:v>
      </x:c>
      <x:c r="C24" s="13" t="str">
        <x:v>Uncertain Pit direction.</x:v>
      </x:c>
      <x:c r="D24" s="13" t="str">
        <x:v>Clip 183 is transcribed as [Copy?].</x:v>
      </x:c>
      <x:c r="E24" s="13" t="str">
        <x:v>Uncertain name and short acknowledgment; no identity match assigned.</x:v>
      </x:c>
      <x:c r="F24" s="13" t="str">
        <x:v>https://afpd-accountability.com/records/openmhz/openmhz-afpd-car-to-car-2026-10-22/dcfems-6001-1792719708.m4a</x:v>
      </x:c>
    </x:row>
    <x:row r="25">
      <x:c r="A25" s="14" t="n">
        <x:v>46317</x:v>
      </x:c>
      <x:c r="B25" s="13" t="n">
        <x:v>203</x:v>
      </x:c>
      <x:c r="C25" s="13" t="str">
        <x:v>Uncertain David hail.</x:v>
      </x:c>
      <x:c r="D25" s="13" t="str">
        <x:v>No later clip in this day manifest.</x:v>
      </x:c>
      <x:c r="E25" s="13" t="str">
        <x:v>No available reply.</x:v>
      </x:c>
      <x:c r="F25" s="13" t="str">
        <x:v>https://afpd-accountability.com/records/openmhz/openmhz-afpd-car-to-car-2026-10-22/dcfems-6001-1792732459.m4a</x:v>
      </x:c>
    </x:row>
    <x:row r="26" ht="100" customHeight="1">
      <x:c r="A26" s="14" t="n">
        <x:v>46281</x:v>
      </x:c>
      <x:c r="B26" s="13" t="n">
        <x:v>248</x:v>
      </x:c>
      <x:c r="C26" s="13" t="str">
        <x:v>Do you want to take Makai's citizen contact, or do you want me to take it? [Unclear closing].</x:v>
      </x:c>
      <x:c r="D26" s="13" t="str">
        <x:v>Clips 249–252: other radios answer. Clip 253, 14590247: Thanks, [Cox?].</x:v>
      </x:c>
      <x:c r="E26" s="13" t="str">
        <x:v>Owner confirmed Makai spelling, but third-person mention and intervening responders do not establish who used the ID. Not counted as a named response day.</x:v>
      </x:c>
      <x:c r="F26" s="13" t="str">
        <x:v>https://afpd-accountability.com/records/openmhz/openmhz-afpd-car-to-car-2026-09-16/dcfems-6001-1789604445.m4a</x:v>
      </x:c>
    </x:row>
    <x:row r="27" ht="100" customHeight="1">
      <x:c r="A27" s="14" t="n">
        <x:v>46310</x:v>
      </x:c>
      <x:c r="B27" s="13" t="n">
        <x:v>83</x:v>
      </x:c>
      <x:c r="C27" s="13" t="str">
        <x:v>Makai, I believe those are Renter's cones.</x:v>
      </x:c>
      <x:c r="D27" s="13" t="str">
        <x:v>Clip 80, 14590247, asks Ethan about cones; clip 82 is an unclear reply. Clip 84 uses the same ID as the named direction in clip 83.</x:v>
      </x:c>
      <x:c r="E27" s="13" t="str">
        <x:v>Owner confirmed Makai and Renter wording. No following response from 14590247 to the named direction, so this is contextual evidence only and is not counted as a response day.</x:v>
      </x:c>
      <x:c r="F27" s="13" t="str">
        <x:v>https://afpd-accountability.com/records/openmhz/openmhz-afpd-car-to-car-2026-10-15/dcfems-6001-1792104929.m4a</x:v>
      </x:c>
    </x:row>
  </x:sheetData>
  <x:pageMargins left="0.7" right="0.7" top="0.75" bottom="0.75" header="0.3" footer="0.3"/>
  <x:tableParts count="1">
    <x:tablePart xmlns:r="http://schemas.openxmlformats.org/officeDocument/2006/relationships" r:id="R418651804c124fb1"/>
  </x:tableParts>
</x:worksheet>
</file>

<file path=xl/worksheets/sheet4.xml><?xml version="1.0" encoding="utf-8"?>
<x:worksheet xmlns:x="http://schemas.openxmlformats.org/spreadsheetml/2006/main">
  <x:sheetViews>
    <x:sheetView showGridLines="0" workbookViewId="0">
      <x:pane xSplit="2" ySplit="10" topLeftCell="C11" activePane="bottomRight" state="frozen"/>
    </x:sheetView>
  </x:sheetViews>
  <x:sheetFormatPr defaultRowHeight="15"/>
  <x:cols>
    <x:col min="1" max="1" width="12.220000267028809" hidden="0" customWidth="1"/>
    <x:col min="2" max="2" width="12.220000267028809" hidden="0" customWidth="1"/>
    <x:col min="3" max="3" width="17.219999313354492" hidden="0" customWidth="1"/>
    <x:col min="4" max="4" width="15.5600004196167" hidden="0" customWidth="1"/>
    <x:col min="5" max="5" width="33.33000183105469" hidden="0" customWidth="1"/>
    <x:col min="6" max="6" width="72.22000122070312" hidden="0" customWidth="1"/>
  </x:cols>
  <x:sheetData>
    <x:row r="1">
      <x:c r="A1" s="2"/>
      <x:c r="B1" s="2"/>
      <x:c r="C1" s="2"/>
      <x:c r="D1" s="2"/>
      <x:c r="E1" s="2"/>
      <x:c r="F1" s="2"/>
    </x:row>
    <x:row r="2">
      <x:c r="A2" s="3" t="str">
        <x:v>Archive coverage and method</x:v>
      </x:c>
      <x:c r="B2" s="2"/>
      <x:c r="C2" s="2"/>
      <x:c r="D2" s="2"/>
      <x:c r="E2" s="2"/>
      <x:c r="F2" s="2"/>
    </x:row>
    <x:row r="3">
      <x:c r="A3" s="4"/>
      <x:c r="B3" s="4"/>
      <x:c r="C3" s="4"/>
      <x:c r="D3" s="4"/>
      <x:c r="E3" s="4"/>
      <x:c r="F3" s="4"/>
    </x:row>
    <x:row r="4">
      <x:c r="A4" s="5" t="str">
        <x:v>44 car-to-car day manifests, talkgroup 6001. Other talkgroups were not included in this transcript search.</x:v>
      </x:c>
      <x:c r="B4" s="2"/>
      <x:c r="C4" s="2"/>
      <x:c r="D4" s="2"/>
      <x:c r="E4" s="2"/>
      <x:c r="F4" s="2"/>
    </x:row>
    <x:row r="5">
      <x:c r="A5" s="2" t="str">
        <x:v>Original 43-day collation: dbba058ba05d95abac280b1809688dc9ba874a69. October 22 extension uses the archived calls.json at staging commit 62ede19b75963f71dc92c56ceef448256588427e. Earlier coverage counts retain their original snapshot.</x:v>
      </x:c>
      <x:c r="B5" s="2"/>
      <x:c r="C5" s="2"/>
      <x:c r="D5" s="2"/>
      <x:c r="E5" s="2"/>
      <x:c r="F5" s="2"/>
    </x:row>
    <x:row r="6">
      <x:c r="A6" s="2" t="str">
        <x:v>Original search: 911 candidate contexts; named reply pairs within 90 seconds. October 22 extension: reviewed all 203 transcript entries, selected 15 response pairs, and recorded 8 exclusions.</x:v>
      </x:c>
      <x:c r="B6" s="2"/>
      <x:c r="C6" s="2"/>
      <x:c r="D6" s="2"/>
      <x:c r="E6" s="2"/>
      <x:c r="F6" s="2"/>
    </x:row>
    <x:row r="7">
      <x:c r="A7" s="2" t="str">
        <x:v>Excluded: third-person mentions, unrelated responses, invalid IDs, combined source IDs and explicit replies on behalf of others. October 23 owner corrections resolve Makai spelling for 14590247; three reply pairs added, plus September 16 and October 15 context recorded in Exceptions.</x:v>
      </x:c>
      <x:c r="B7" s="2"/>
      <x:c r="C7" s="2"/>
      <x:c r="D7" s="2"/>
      <x:c r="E7" s="2"/>
      <x:c r="F7" s="2"/>
    </x:row>
    <x:row r="8">
      <x:c r="A8" s="2" t="str">
        <x:v>The selected examples are a research index, not an exhaustive list. October 27 owner identification groups Tanner, T-Ball and G-Ball as Tanner Ballamis. Seven earlier response pairs added; 10 pairs across four days use 14580151.</x:v>
      </x:c>
      <x:c r="B8" s="2"/>
      <x:c r="C8" s="2"/>
      <x:c r="D8" s="2"/>
      <x:c r="E8" s="2"/>
      <x:c r="F8" s="2"/>
    </x:row>
    <x:row r="9">
      <x:c r="A9" s="2"/>
      <x:c r="B9" s="2"/>
      <x:c r="C9" s="2"/>
      <x:c r="D9" s="2"/>
      <x:c r="E9" s="2"/>
      <x:c r="F9" s="2"/>
    </x:row>
    <x:row r="10" ht="32" customHeight="1">
      <x:c r="A10" s="9" t="str">
        <x:v>Date</x:v>
      </x:c>
      <x:c r="B10" s="9" t="str">
        <x:v>Call entries</x:v>
      </x:c>
      <x:c r="C10" s="9" t="str">
        <x:v>Nonempty transcripts</x:v>
      </x:c>
      <x:c r="D10" s="9" t="str">
        <x:v>Calls with valid IDs</x:v>
      </x:c>
      <x:c r="E10" s="9" t="str">
        <x:v>Coverage note</x:v>
      </x:c>
      <x:c r="F10" s="9" t="str">
        <x:v>Source manifest</x:v>
      </x:c>
    </x:row>
    <x:row r="11" ht="36" customHeight="1">
      <x:c r="A11" s="20" t="n">
        <x:v>46274</x:v>
      </x:c>
      <x:c r="B11" s="2" t="n">
        <x:v>356</x:v>
      </x:c>
      <x:c r="C11" s="2" t="n">
        <x:v>356</x:v>
      </x:c>
      <x:c r="D11" s="2" t="n">
        <x:v>15</x:v>
      </x:c>
      <x:c r="E11" s="2" t="str">
        <x:v>Most calls lack radio IDs</x:v>
      </x:c>
      <x:c r="F11" s="10" t="str">
        <x:v>https://afpd-accountability.com/records/openmhz/openmhz-afpd-car-to-car-2026-09-09/calls.json</x:v>
      </x:c>
    </x:row>
    <x:row r="12" ht="36" customHeight="1">
      <x:c r="A12" s="20" t="n">
        <x:v>46275</x:v>
      </x:c>
      <x:c r="B12" s="2" t="n">
        <x:v>326</x:v>
      </x:c>
      <x:c r="C12" s="2" t="n">
        <x:v>326</x:v>
      </x:c>
      <x:c r="D12" s="2" t="n">
        <x:v>323</x:v>
      </x:c>
      <x:c r="E12" s="2" t="str"/>
      <x:c r="F12" s="10" t="str">
        <x:v>https://afpd-accountability.com/records/openmhz/openmhz-afpd-car-to-car-2026-09-10/calls.json</x:v>
      </x:c>
    </x:row>
    <x:row r="13" ht="36" customHeight="1">
      <x:c r="A13" s="20" t="n">
        <x:v>46276</x:v>
      </x:c>
      <x:c r="B13" s="2" t="n">
        <x:v>559</x:v>
      </x:c>
      <x:c r="C13" s="2" t="n">
        <x:v>559</x:v>
      </x:c>
      <x:c r="D13" s="2" t="n">
        <x:v>559</x:v>
      </x:c>
      <x:c r="E13" s="2" t="str"/>
      <x:c r="F13" s="10" t="str">
        <x:v>https://afpd-accountability.com/records/openmhz/openmhz-afpd-car-to-car-2026-09-11/calls.json</x:v>
      </x:c>
    </x:row>
    <x:row r="14" ht="36" customHeight="1">
      <x:c r="A14" s="20" t="n">
        <x:v>46277</x:v>
      </x:c>
      <x:c r="B14" s="2" t="n">
        <x:v>991</x:v>
      </x:c>
      <x:c r="C14" s="2" t="n">
        <x:v>991</x:v>
      </x:c>
      <x:c r="D14" s="2" t="n">
        <x:v>986</x:v>
      </x:c>
      <x:c r="E14" s="2" t="str"/>
      <x:c r="F14" s="10" t="str">
        <x:v>https://afpd-accountability.com/records/openmhz/openmhz-afpd-car-to-car-2026-09-12/calls.json</x:v>
      </x:c>
    </x:row>
    <x:row r="15" ht="36" customHeight="1">
      <x:c r="A15" s="20" t="n">
        <x:v>46278</x:v>
      </x:c>
      <x:c r="B15" s="2" t="n">
        <x:v>359</x:v>
      </x:c>
      <x:c r="C15" s="2" t="n">
        <x:v>359</x:v>
      </x:c>
      <x:c r="D15" s="2" t="n">
        <x:v>357</x:v>
      </x:c>
      <x:c r="E15" s="2" t="str"/>
      <x:c r="F15" s="10" t="str">
        <x:v>https://afpd-accountability.com/records/openmhz/openmhz-afpd-car-to-car-2026-09-13/calls.json</x:v>
      </x:c>
    </x:row>
    <x:row r="16" ht="36" customHeight="1">
      <x:c r="A16" s="20" t="n">
        <x:v>46279</x:v>
      </x:c>
      <x:c r="B16" s="2" t="n">
        <x:v>264</x:v>
      </x:c>
      <x:c r="C16" s="2" t="n">
        <x:v>264</x:v>
      </x:c>
      <x:c r="D16" s="2" t="n">
        <x:v>263</x:v>
      </x:c>
      <x:c r="E16" s="2" t="str"/>
      <x:c r="F16" s="10" t="str">
        <x:v>https://afpd-accountability.com/records/openmhz/openmhz-afpd-car-to-car-2026-09-14/calls.json</x:v>
      </x:c>
    </x:row>
    <x:row r="17" ht="36" customHeight="1">
      <x:c r="A17" s="20" t="n">
        <x:v>46280</x:v>
      </x:c>
      <x:c r="B17" s="2" t="n">
        <x:v>241</x:v>
      </x:c>
      <x:c r="C17" s="2" t="n">
        <x:v>241</x:v>
      </x:c>
      <x:c r="D17" s="2" t="n">
        <x:v>238</x:v>
      </x:c>
      <x:c r="E17" s="2" t="str"/>
      <x:c r="F17" s="10" t="str">
        <x:v>https://afpd-accountability.com/records/openmhz/openmhz-afpd-car-to-car-2026-09-15/calls.json</x:v>
      </x:c>
    </x:row>
    <x:row r="18" ht="36" customHeight="1">
      <x:c r="A18" s="20" t="n">
        <x:v>46281</x:v>
      </x:c>
      <x:c r="B18" s="2" t="n">
        <x:v>433</x:v>
      </x:c>
      <x:c r="C18" s="2" t="n">
        <x:v>433</x:v>
      </x:c>
      <x:c r="D18" s="2" t="n">
        <x:v>428</x:v>
      </x:c>
      <x:c r="E18" s="2" t="str"/>
      <x:c r="F18" s="10" t="str">
        <x:v>https://afpd-accountability.com/records/openmhz/openmhz-afpd-car-to-car-2026-09-16/calls.json</x:v>
      </x:c>
    </x:row>
    <x:row r="19" ht="36" customHeight="1">
      <x:c r="A19" s="20" t="n">
        <x:v>46282</x:v>
      </x:c>
      <x:c r="B19" s="2" t="n">
        <x:v>433</x:v>
      </x:c>
      <x:c r="C19" s="2" t="n">
        <x:v>433</x:v>
      </x:c>
      <x:c r="D19" s="2" t="n">
        <x:v>433</x:v>
      </x:c>
      <x:c r="E19" s="2" t="str"/>
      <x:c r="F19" s="10" t="str">
        <x:v>https://afpd-accountability.com/records/openmhz/openmhz-afpd-car-to-car-2026-09-17/calls.json</x:v>
      </x:c>
    </x:row>
    <x:row r="20" ht="36" customHeight="1">
      <x:c r="A20" s="20" t="n">
        <x:v>46283</x:v>
      </x:c>
      <x:c r="B20" s="2" t="n">
        <x:v>297</x:v>
      </x:c>
      <x:c r="C20" s="2" t="n">
        <x:v>297</x:v>
      </x:c>
      <x:c r="D20" s="2" t="n">
        <x:v>296</x:v>
      </x:c>
      <x:c r="E20" s="2" t="str"/>
      <x:c r="F20" s="10" t="str">
        <x:v>https://afpd-accountability.com/records/openmhz/openmhz-afpd-car-to-car-2026-09-18/calls.json</x:v>
      </x:c>
    </x:row>
    <x:row r="21" ht="36" customHeight="1">
      <x:c r="A21" s="20" t="n">
        <x:v>46284</x:v>
      </x:c>
      <x:c r="B21" s="2" t="n">
        <x:v>157</x:v>
      </x:c>
      <x:c r="C21" s="2" t="n">
        <x:v>157</x:v>
      </x:c>
      <x:c r="D21" s="2" t="n">
        <x:v>157</x:v>
      </x:c>
      <x:c r="E21" s="2" t="str"/>
      <x:c r="F21" s="10" t="str">
        <x:v>https://afpd-accountability.com/records/openmhz/openmhz-afpd-car-to-car-2026-09-19/calls.json</x:v>
      </x:c>
    </x:row>
    <x:row r="22" ht="36" customHeight="1">
      <x:c r="A22" s="20" t="n">
        <x:v>46285</x:v>
      </x:c>
      <x:c r="B22" s="2" t="n">
        <x:v>166</x:v>
      </x:c>
      <x:c r="C22" s="2" t="n">
        <x:v>166</x:v>
      </x:c>
      <x:c r="D22" s="2" t="n">
        <x:v>164</x:v>
      </x:c>
      <x:c r="E22" s="2" t="str"/>
      <x:c r="F22" s="10" t="str">
        <x:v>https://afpd-accountability.com/records/openmhz/openmhz-afpd-car-to-car-2026-09-20/calls.json</x:v>
      </x:c>
    </x:row>
    <x:row r="23" ht="36" customHeight="1">
      <x:c r="A23" s="20" t="n">
        <x:v>46286</x:v>
      </x:c>
      <x:c r="B23" s="2" t="n">
        <x:v>187</x:v>
      </x:c>
      <x:c r="C23" s="2" t="n">
        <x:v>187</x:v>
      </x:c>
      <x:c r="D23" s="2" t="n">
        <x:v>187</x:v>
      </x:c>
      <x:c r="E23" s="2" t="str"/>
      <x:c r="F23" s="10" t="str">
        <x:v>https://afpd-accountability.com/records/openmhz/openmhz-afpd-car-to-car-2026-09-21/calls.json</x:v>
      </x:c>
    </x:row>
    <x:row r="24" ht="36" customHeight="1">
      <x:c r="A24" s="20" t="n">
        <x:v>46287</x:v>
      </x:c>
      <x:c r="B24" s="2" t="n">
        <x:v>513</x:v>
      </x:c>
      <x:c r="C24" s="2" t="n">
        <x:v>513</x:v>
      </x:c>
      <x:c r="D24" s="2" t="n">
        <x:v>511</x:v>
      </x:c>
      <x:c r="E24" s="2" t="str"/>
      <x:c r="F24" s="10" t="str">
        <x:v>https://afpd-accountability.com/records/openmhz/openmhz-afpd-car-to-car-2026-09-22/calls.json</x:v>
      </x:c>
    </x:row>
    <x:row r="25" ht="36" customHeight="1">
      <x:c r="A25" s="20" t="n">
        <x:v>46288</x:v>
      </x:c>
      <x:c r="B25" s="2" t="n">
        <x:v>342</x:v>
      </x:c>
      <x:c r="C25" s="2" t="n">
        <x:v>342</x:v>
      </x:c>
      <x:c r="D25" s="2" t="n">
        <x:v>342</x:v>
      </x:c>
      <x:c r="E25" s="2" t="str"/>
      <x:c r="F25" s="10" t="str">
        <x:v>https://afpd-accountability.com/records/openmhz/openmhz-afpd-car-to-car-2026-09-23/calls.json</x:v>
      </x:c>
    </x:row>
    <x:row r="26" ht="36" customHeight="1">
      <x:c r="A26" s="20" t="n">
        <x:v>46289</x:v>
      </x:c>
      <x:c r="B26" s="2" t="n">
        <x:v>313</x:v>
      </x:c>
      <x:c r="C26" s="2" t="n">
        <x:v>313</x:v>
      </x:c>
      <x:c r="D26" s="2" t="n">
        <x:v>312</x:v>
      </x:c>
      <x:c r="E26" s="2" t="str"/>
      <x:c r="F26" s="10" t="str">
        <x:v>https://afpd-accountability.com/records/openmhz/openmhz-afpd-car-to-car-2026-09-24/calls.json</x:v>
      </x:c>
    </x:row>
    <x:row r="27" ht="36" customHeight="1">
      <x:c r="A27" s="20" t="n">
        <x:v>46290</x:v>
      </x:c>
      <x:c r="B27" s="2" t="n">
        <x:v>255</x:v>
      </x:c>
      <x:c r="C27" s="2" t="n">
        <x:v>255</x:v>
      </x:c>
      <x:c r="D27" s="2" t="n">
        <x:v>254</x:v>
      </x:c>
      <x:c r="E27" s="2" t="str"/>
      <x:c r="F27" s="10" t="str">
        <x:v>https://afpd-accountability.com/records/openmhz/openmhz-afpd-car-to-car-2026-09-25/calls.json</x:v>
      </x:c>
    </x:row>
    <x:row r="28" ht="36" customHeight="1">
      <x:c r="A28" s="20" t="n">
        <x:v>46291</x:v>
      </x:c>
      <x:c r="B28" s="2" t="n">
        <x:v>311</x:v>
      </x:c>
      <x:c r="C28" s="2" t="n">
        <x:v>311</x:v>
      </x:c>
      <x:c r="D28" s="2" t="n">
        <x:v>310</x:v>
      </x:c>
      <x:c r="E28" s="2" t="str"/>
      <x:c r="F28" s="10" t="str">
        <x:v>https://afpd-accountability.com/records/openmhz/openmhz-afpd-car-to-car-2026-09-26/calls.json</x:v>
      </x:c>
    </x:row>
    <x:row r="29" ht="36" customHeight="1">
      <x:c r="A29" s="20" t="n">
        <x:v>46292</x:v>
      </x:c>
      <x:c r="B29" s="2" t="n">
        <x:v>190</x:v>
      </x:c>
      <x:c r="C29" s="2" t="n">
        <x:v>190</x:v>
      </x:c>
      <x:c r="D29" s="2" t="n">
        <x:v>190</x:v>
      </x:c>
      <x:c r="E29" s="2" t="str"/>
      <x:c r="F29" s="10" t="str">
        <x:v>https://afpd-accountability.com/records/openmhz/openmhz-afpd-car-to-car-2026-09-27/calls.json</x:v>
      </x:c>
    </x:row>
    <x:row r="30" ht="36" customHeight="1">
      <x:c r="A30" s="20" t="n">
        <x:v>46293</x:v>
      </x:c>
      <x:c r="B30" s="2" t="n">
        <x:v>247</x:v>
      </x:c>
      <x:c r="C30" s="2" t="n">
        <x:v>247</x:v>
      </x:c>
      <x:c r="D30" s="2" t="n">
        <x:v>245</x:v>
      </x:c>
      <x:c r="E30" s="2" t="str"/>
      <x:c r="F30" s="10" t="str">
        <x:v>https://afpd-accountability.com/records/openmhz/openmhz-afpd-car-to-car-2026-09-28/calls.json</x:v>
      </x:c>
    </x:row>
    <x:row r="31" ht="36" customHeight="1">
      <x:c r="A31" s="20" t="n">
        <x:v>46294</x:v>
      </x:c>
      <x:c r="B31" s="2" t="n">
        <x:v>146</x:v>
      </x:c>
      <x:c r="C31" s="2" t="n">
        <x:v>146</x:v>
      </x:c>
      <x:c r="D31" s="2" t="n">
        <x:v>146</x:v>
      </x:c>
      <x:c r="E31" s="2" t="str"/>
      <x:c r="F31" s="10" t="str">
        <x:v>https://afpd-accountability.com/records/openmhz/openmhz-afpd-car-to-car-2026-09-29/calls.json</x:v>
      </x:c>
    </x:row>
    <x:row r="32" ht="36" customHeight="1">
      <x:c r="A32" s="20" t="n">
        <x:v>46295</x:v>
      </x:c>
      <x:c r="B32" s="2" t="n">
        <x:v>83</x:v>
      </x:c>
      <x:c r="C32" s="2" t="n">
        <x:v>83</x:v>
      </x:c>
      <x:c r="D32" s="2" t="n">
        <x:v>82</x:v>
      </x:c>
      <x:c r="E32" s="2" t="str"/>
      <x:c r="F32" s="10" t="str">
        <x:v>https://afpd-accountability.com/records/openmhz/openmhz-afpd-car-to-car-2026-09-30/calls.json</x:v>
      </x:c>
    </x:row>
    <x:row r="33" ht="36" customHeight="1">
      <x:c r="A33" s="20" t="n">
        <x:v>46296</x:v>
      </x:c>
      <x:c r="B33" s="2" t="n">
        <x:v>183</x:v>
      </x:c>
      <x:c r="C33" s="2" t="n">
        <x:v>183</x:v>
      </x:c>
      <x:c r="D33" s="2" t="n">
        <x:v>182</x:v>
      </x:c>
      <x:c r="E33" s="2" t="str"/>
      <x:c r="F33" s="10" t="str">
        <x:v>https://afpd-accountability.com/records/openmhz/openmhz-afpd-car-to-car-2026-10-01/calls.json</x:v>
      </x:c>
    </x:row>
    <x:row r="34" ht="36" customHeight="1">
      <x:c r="A34" s="20" t="n">
        <x:v>46297</x:v>
      </x:c>
      <x:c r="B34" s="2" t="n">
        <x:v>224</x:v>
      </x:c>
      <x:c r="C34" s="2" t="n">
        <x:v>224</x:v>
      </x:c>
      <x:c r="D34" s="2" t="n">
        <x:v>224</x:v>
      </x:c>
      <x:c r="E34" s="2" t="str"/>
      <x:c r="F34" s="10" t="str">
        <x:v>https://afpd-accountability.com/records/openmhz/openmhz-afpd-car-to-car-2026-10-02/calls.json</x:v>
      </x:c>
    </x:row>
    <x:row r="35" ht="36" customHeight="1">
      <x:c r="A35" s="20" t="n">
        <x:v>46298</x:v>
      </x:c>
      <x:c r="B35" s="2" t="n">
        <x:v>231</x:v>
      </x:c>
      <x:c r="C35" s="2" t="n">
        <x:v>231</x:v>
      </x:c>
      <x:c r="D35" s="2" t="n">
        <x:v>229</x:v>
      </x:c>
      <x:c r="E35" s="2" t="str"/>
      <x:c r="F35" s="10" t="str">
        <x:v>https://afpd-accountability.com/records/openmhz/openmhz-afpd-car-to-car-2026-10-03/calls.json</x:v>
      </x:c>
    </x:row>
    <x:row r="36" ht="36" customHeight="1">
      <x:c r="A36" s="20" t="n">
        <x:v>46299</x:v>
      </x:c>
      <x:c r="B36" s="2" t="n">
        <x:v>173</x:v>
      </x:c>
      <x:c r="C36" s="2" t="n">
        <x:v>173</x:v>
      </x:c>
      <x:c r="D36" s="2" t="n">
        <x:v>171</x:v>
      </x:c>
      <x:c r="E36" s="2" t="str"/>
      <x:c r="F36" s="10" t="str">
        <x:v>https://afpd-accountability.com/records/openmhz/openmhz-afpd-car-to-car-2026-10-04/calls.json</x:v>
      </x:c>
    </x:row>
    <x:row r="37" ht="36" customHeight="1">
      <x:c r="A37" s="20" t="n">
        <x:v>46300</x:v>
      </x:c>
      <x:c r="B37" s="2" t="n">
        <x:v>133</x:v>
      </x:c>
      <x:c r="C37" s="2" t="n">
        <x:v>133</x:v>
      </x:c>
      <x:c r="D37" s="2" t="n">
        <x:v>133</x:v>
      </x:c>
      <x:c r="E37" s="2" t="str"/>
      <x:c r="F37" s="10" t="str">
        <x:v>https://afpd-accountability.com/records/openmhz/openmhz-afpd-car-to-car-2026-10-05/calls.json</x:v>
      </x:c>
    </x:row>
    <x:row r="38" ht="36" customHeight="1">
      <x:c r="A38" s="20" t="n">
        <x:v>46301</x:v>
      </x:c>
      <x:c r="B38" s="2" t="n">
        <x:v>178</x:v>
      </x:c>
      <x:c r="C38" s="2" t="n">
        <x:v>178</x:v>
      </x:c>
      <x:c r="D38" s="2" t="n">
        <x:v>178</x:v>
      </x:c>
      <x:c r="E38" s="2" t="str"/>
      <x:c r="F38" s="10" t="str">
        <x:v>https://afpd-accountability.com/records/openmhz/openmhz-afpd-car-to-car-2026-10-06/calls.json</x:v>
      </x:c>
    </x:row>
    <x:row r="39" ht="36" customHeight="1">
      <x:c r="A39" s="20" t="n">
        <x:v>46302</x:v>
      </x:c>
      <x:c r="B39" s="2" t="n">
        <x:v>156</x:v>
      </x:c>
      <x:c r="C39" s="2" t="n">
        <x:v>156</x:v>
      </x:c>
      <x:c r="D39" s="2" t="n">
        <x:v>156</x:v>
      </x:c>
      <x:c r="E39" s="2" t="str"/>
      <x:c r="F39" s="10" t="str">
        <x:v>https://afpd-accountability.com/records/openmhz/openmhz-afpd-car-to-car-2026-10-07/calls.json</x:v>
      </x:c>
    </x:row>
    <x:row r="40" ht="36" customHeight="1">
      <x:c r="A40" s="20" t="n">
        <x:v>46303</x:v>
      </x:c>
      <x:c r="B40" s="2" t="n">
        <x:v>236</x:v>
      </x:c>
      <x:c r="C40" s="2" t="n">
        <x:v>236</x:v>
      </x:c>
      <x:c r="D40" s="2" t="n">
        <x:v>235</x:v>
      </x:c>
      <x:c r="E40" s="2" t="str"/>
      <x:c r="F40" s="10" t="str">
        <x:v>https://afpd-accountability.com/records/openmhz/openmhz-afpd-car-to-car-2026-10-08/calls.json</x:v>
      </x:c>
    </x:row>
    <x:row r="41" ht="36" customHeight="1">
      <x:c r="A41" s="20" t="n">
        <x:v>46304</x:v>
      </x:c>
      <x:c r="B41" s="2" t="n">
        <x:v>327</x:v>
      </x:c>
      <x:c r="C41" s="2" t="n">
        <x:v>327</x:v>
      </x:c>
      <x:c r="D41" s="2" t="n">
        <x:v>326</x:v>
      </x:c>
      <x:c r="E41" s="2" t="str"/>
      <x:c r="F41" s="10" t="str">
        <x:v>https://afpd-accountability.com/records/openmhz/openmhz-afpd-car-to-car-2026-10-09/calls.json</x:v>
      </x:c>
    </x:row>
    <x:row r="42" ht="36" customHeight="1">
      <x:c r="A42" s="20" t="n">
        <x:v>46305</x:v>
      </x:c>
      <x:c r="B42" s="2" t="n">
        <x:v>357</x:v>
      </x:c>
      <x:c r="C42" s="2" t="n">
        <x:v>357</x:v>
      </x:c>
      <x:c r="D42" s="2" t="n">
        <x:v>357</x:v>
      </x:c>
      <x:c r="E42" s="2" t="str"/>
      <x:c r="F42" s="10" t="str">
        <x:v>https://afpd-accountability.com/records/openmhz/openmhz-afpd-car-to-car-2026-10-10/calls.json</x:v>
      </x:c>
    </x:row>
    <x:row r="43" ht="36" customHeight="1">
      <x:c r="A43" s="20" t="n">
        <x:v>46306</x:v>
      </x:c>
      <x:c r="B43" s="2" t="n">
        <x:v>369</x:v>
      </x:c>
      <x:c r="C43" s="2" t="n">
        <x:v>369</x:v>
      </x:c>
      <x:c r="D43" s="2" t="n">
        <x:v>367</x:v>
      </x:c>
      <x:c r="E43" s="2" t="str"/>
      <x:c r="F43" s="10" t="str">
        <x:v>https://afpd-accountability.com/records/openmhz/openmhz-afpd-car-to-car-2026-10-11/calls.json</x:v>
      </x:c>
    </x:row>
    <x:row r="44" ht="36" customHeight="1">
      <x:c r="A44" s="20" t="n">
        <x:v>46307</x:v>
      </x:c>
      <x:c r="B44" s="2" t="n">
        <x:v>125</x:v>
      </x:c>
      <x:c r="C44" s="2" t="n">
        <x:v>125</x:v>
      </x:c>
      <x:c r="D44" s="2" t="n">
        <x:v>121</x:v>
      </x:c>
      <x:c r="E44" s="2" t="str"/>
      <x:c r="F44" s="10" t="str">
        <x:v>https://afpd-accountability.com/records/openmhz/openmhz-afpd-car-to-car-2026-10-12/calls.json</x:v>
      </x:c>
    </x:row>
    <x:row r="45" ht="36" customHeight="1">
      <x:c r="A45" s="20" t="n">
        <x:v>46308</x:v>
      </x:c>
      <x:c r="B45" s="2" t="n">
        <x:v>202</x:v>
      </x:c>
      <x:c r="C45" s="2" t="n">
        <x:v>202</x:v>
      </x:c>
      <x:c r="D45" s="2" t="n">
        <x:v>202</x:v>
      </x:c>
      <x:c r="E45" s="2" t="str"/>
      <x:c r="F45" s="10" t="str">
        <x:v>https://afpd-accountability.com/records/openmhz/openmhz-afpd-car-to-car-2026-10-13/calls.json</x:v>
      </x:c>
    </x:row>
    <x:row r="46" ht="36" customHeight="1">
      <x:c r="A46" s="20" t="n">
        <x:v>46309</x:v>
      </x:c>
      <x:c r="B46" s="2" t="n">
        <x:v>278</x:v>
      </x:c>
      <x:c r="C46" s="2" t="n">
        <x:v>278</x:v>
      </x:c>
      <x:c r="D46" s="2" t="n">
        <x:v>276</x:v>
      </x:c>
      <x:c r="E46" s="2" t="str"/>
      <x:c r="F46" s="10" t="str">
        <x:v>https://afpd-accountability.com/records/openmhz/openmhz-afpd-car-to-car-2026-10-14/calls.json</x:v>
      </x:c>
    </x:row>
    <x:row r="47" ht="36" customHeight="1">
      <x:c r="A47" s="20" t="n">
        <x:v>46310</x:v>
      </x:c>
      <x:c r="B47" s="2" t="n">
        <x:v>155</x:v>
      </x:c>
      <x:c r="C47" s="2" t="n">
        <x:v>155</x:v>
      </x:c>
      <x:c r="D47" s="2" t="n">
        <x:v>154</x:v>
      </x:c>
      <x:c r="E47" s="2" t="str"/>
      <x:c r="F47" s="10" t="str">
        <x:v>https://afpd-accountability.com/records/openmhz/openmhz-afpd-car-to-car-2026-10-15/calls.json</x:v>
      </x:c>
    </x:row>
    <x:row r="48" ht="36" customHeight="1">
      <x:c r="A48" s="20" t="n">
        <x:v>46311</x:v>
      </x:c>
      <x:c r="B48" s="2" t="n">
        <x:v>161</x:v>
      </x:c>
      <x:c r="C48" s="2" t="n">
        <x:v>161</x:v>
      </x:c>
      <x:c r="D48" s="2" t="n">
        <x:v>161</x:v>
      </x:c>
      <x:c r="E48" s="2" t="str"/>
      <x:c r="F48" s="10" t="str">
        <x:v>https://afpd-accountability.com/records/openmhz/openmhz-afpd-car-to-car-2026-10-16/calls.json</x:v>
      </x:c>
    </x:row>
    <x:row r="49" ht="36" customHeight="1">
      <x:c r="A49" s="20" t="n">
        <x:v>46312</x:v>
      </x:c>
      <x:c r="B49" s="2" t="n">
        <x:v>124</x:v>
      </x:c>
      <x:c r="C49" s="2" t="n">
        <x:v>124</x:v>
      </x:c>
      <x:c r="D49" s="2" t="n">
        <x:v>123</x:v>
      </x:c>
      <x:c r="E49" s="2" t="str"/>
      <x:c r="F49" s="10" t="str">
        <x:v>https://afpd-accountability.com/records/openmhz/openmhz-afpd-car-to-car-2026-10-17/calls.json</x:v>
      </x:c>
    </x:row>
    <x:row r="50" ht="36" customHeight="1">
      <x:c r="A50" s="20" t="n">
        <x:v>46313</x:v>
      </x:c>
      <x:c r="B50" s="2" t="n">
        <x:v>117</x:v>
      </x:c>
      <x:c r="C50" s="2" t="n">
        <x:v>117</x:v>
      </x:c>
      <x:c r="D50" s="2" t="n">
        <x:v>117</x:v>
      </x:c>
      <x:c r="E50" s="2" t="str"/>
      <x:c r="F50" s="10" t="str">
        <x:v>https://afpd-accountability.com/records/openmhz/openmhz-afpd-car-to-car-2026-10-18/calls.json</x:v>
      </x:c>
    </x:row>
    <x:row r="51" ht="36" customHeight="1">
      <x:c r="A51" s="20" t="n">
        <x:v>46314</x:v>
      </x:c>
      <x:c r="B51" s="2" t="n">
        <x:v>119</x:v>
      </x:c>
      <x:c r="C51" s="2" t="n">
        <x:v>119</x:v>
      </x:c>
      <x:c r="D51" s="2" t="n">
        <x:v>117</x:v>
      </x:c>
      <x:c r="E51" s="2" t="str"/>
      <x:c r="F51" s="10" t="str">
        <x:v>https://afpd-accountability.com/records/openmhz/openmhz-afpd-car-to-car-2026-10-19/calls.json</x:v>
      </x:c>
    </x:row>
    <x:row r="52" ht="36" customHeight="1">
      <x:c r="A52" s="20" t="n">
        <x:v>46315</x:v>
      </x:c>
      <x:c r="B52" s="2" t="n">
        <x:v>194</x:v>
      </x:c>
      <x:c r="C52" s="2" t="n">
        <x:v>194</x:v>
      </x:c>
      <x:c r="D52" s="2" t="n">
        <x:v>193</x:v>
      </x:c>
      <x:c r="E52" s="2" t="str"/>
      <x:c r="F52" s="10" t="str">
        <x:v>https://afpd-accountability.com/records/openmhz/openmhz-afpd-car-to-car-2026-10-20/calls.json</x:v>
      </x:c>
    </x:row>
    <x:row r="53" ht="36" customHeight="1">
      <x:c r="A53" s="20" t="n">
        <x:v>46316</x:v>
      </x:c>
      <x:c r="B53" s="2" t="n">
        <x:v>150</x:v>
      </x:c>
      <x:c r="C53" s="2" t="n">
        <x:v>145</x:v>
      </x:c>
      <x:c r="D53" s="2" t="n">
        <x:v>149</x:v>
      </x:c>
      <x:c r="E53" s="2" t="str">
        <x:v>Five calls have no transcript text</x:v>
      </x:c>
      <x:c r="F53" s="10" t="str">
        <x:v>https://afpd-accountability.com/records/openmhz/openmhz-afpd-car-to-car-2026-10-21/calls.json</x:v>
      </x:c>
    </x:row>
    <x:row r="54">
      <x:c r="A54" s="20" t="n">
        <x:v>46317</x:v>
      </x:c>
      <x:c r="B54" s="2" t="n">
        <x:v>203</x:v>
      </x:c>
      <x:c r="C54" s="2" t="n">
        <x:v>203</x:v>
      </x:c>
      <x:c r="D54" s="2" t="n">
        <x:v>203</x:v>
      </x:c>
      <x:c r="E54" s="2" t="str">
        <x:v>All calls have transcript text and positive radio IDs</x:v>
      </x:c>
      <x:c r="F54" s="10" t="str">
        <x:v>https://afpd-accountability.com/records/openmhz/openmhz-afpd-car-to-car-2026-10-22/calls.json</x:v>
      </x:c>
    </x:row>
    <x:row r="55">
      <x:c r="A55" s="21" t="str">
        <x:v>Total</x:v>
      </x:c>
      <x:c r="B55" s="21" t="n">
        <x:f>SUM(B11:B54)</x:f>
        <x:v>11564</x:v>
      </x:c>
      <x:c r="C55" s="21" t="n">
        <x:f>SUM(C11:C54)</x:f>
        <x:v>11559</x:v>
      </x:c>
      <x:c r="D55" s="21" t="n">
        <x:f>SUM(D11:D54)</x:f>
        <x:v>11172</x:v>
      </x:c>
      <x:c r="E55" s="2"/>
      <x:c r="F55" s="2"/>
    </x:row>
    <x:row r="56">
      <x:c r="A56" s="2"/>
      <x:c r="B56" s="2"/>
      <x:c r="C56" s="2"/>
      <x:c r="D56" s="2"/>
      <x:c r="E56" s="2"/>
      <x:c r="F56" s="2"/>
    </x:row>
    <x:row r="57">
      <x:c r="A57" s="2"/>
      <x:c r="B57" s="2"/>
      <x:c r="C57" s="2"/>
      <x:c r="D57" s="2"/>
      <x:c r="E57" s="2"/>
      <x:c r="F57" s="2"/>
    </x:row>
    <x:row r="58">
      <x:c r="A58" s="2"/>
      <x:c r="B58" s="2"/>
      <x:c r="C58" s="2"/>
      <x:c r="D58" s="2"/>
      <x:c r="E58" s="2"/>
      <x:c r="F58" s="2"/>
    </x:row>
  </x:sheetData>
  <x:pageMargins left="0.7" right="0.7" top="0.75" bottom="0.75" header="0.3" footer="0.3"/>
  <x:tableParts count="1">
    <x:tablePart xmlns:r="http://schemas.openxmlformats.org/officeDocument/2006/relationships" r:id="R14bc226f72d04874"/>
  </x:tableParts>
</x:worksheet>
</file>